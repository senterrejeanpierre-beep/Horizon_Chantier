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ARCHIVES/"/>
    </mc:Choice>
  </mc:AlternateContent>
  <xr:revisionPtr revIDLastSave="0" documentId="13_ncr:1_{DA218636-4E3B-164C-9AFB-48D667D6E1F3}" xr6:coauthVersionLast="47" xr6:coauthVersionMax="47" xr10:uidLastSave="{00000000-0000-0000-0000-000000000000}"/>
  <bookViews>
    <workbookView xWindow="0" yWindow="500" windowWidth="49280" windowHeight="26600" xr2:uid="{00000000-000D-0000-FFFF-FFFF00000000}"/>
  </bookViews>
  <sheets>
    <sheet name="Prix_de_rev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K7" i="1"/>
  <c r="M7" i="1" s="1"/>
  <c r="L6" i="1"/>
  <c r="K6" i="1"/>
  <c r="M6" i="1" s="1"/>
  <c r="L5" i="1"/>
  <c r="L4" i="1"/>
  <c r="M4" i="1" s="1"/>
  <c r="L3" i="1"/>
  <c r="M3" i="1" s="1"/>
  <c r="L2" i="1"/>
  <c r="M2" i="1" s="1"/>
  <c r="N8" i="1" l="1"/>
  <c r="R8" i="1" s="1"/>
  <c r="M5" i="1"/>
  <c r="P8" i="1" s="1"/>
  <c r="S8" i="1" s="1"/>
  <c r="M8" i="1" l="1"/>
  <c r="Y8" i="1" l="1"/>
  <c r="X8" i="1"/>
  <c r="T8" i="1"/>
</calcChain>
</file>

<file path=xl/sharedStrings.xml><?xml version="1.0" encoding="utf-8"?>
<sst xmlns="http://schemas.openxmlformats.org/spreadsheetml/2006/main" count="46" uniqueCount="38">
  <si>
    <t>Article</t>
  </si>
  <si>
    <t>Désignation</t>
  </si>
  <si>
    <t>Type</t>
  </si>
  <si>
    <t>Sous-poste</t>
  </si>
  <si>
    <t>Unité</t>
  </si>
  <si>
    <t>Quantité</t>
  </si>
  <si>
    <t>PU net</t>
  </si>
  <si>
    <t>Marge %</t>
  </si>
  <si>
    <t>Nb hommes</t>
  </si>
  <si>
    <t>Taux horaire</t>
  </si>
  <si>
    <t>Heures total</t>
  </si>
  <si>
    <t>PU vente</t>
  </si>
  <si>
    <t>Total</t>
  </si>
  <si>
    <t>Total Matière (poste)</t>
  </si>
  <si>
    <t>Total Heures (poste)</t>
  </si>
  <si>
    <t>Coût MO (poste)</t>
  </si>
  <si>
    <t>Qté poste</t>
  </si>
  <si>
    <t>PU Matière (poste)</t>
  </si>
  <si>
    <t>PU MO (poste)</t>
  </si>
  <si>
    <t>PU Revient (poste)</t>
  </si>
  <si>
    <t>Heures réelles (poste)</t>
  </si>
  <si>
    <t>Coût matière réel (poste)</t>
  </si>
  <si>
    <t>Coût MO réel (poste)</t>
  </si>
  <si>
    <t>Écart € (réel - prévu)</t>
  </si>
  <si>
    <t>Écart %</t>
  </si>
  <si>
    <t>3.01</t>
  </si>
  <si>
    <t>Container décombre 10 m³</t>
  </si>
  <si>
    <t>Matière</t>
  </si>
  <si>
    <t>Container</t>
  </si>
  <si>
    <t>forfait</t>
  </si>
  <si>
    <t>Transport</t>
  </si>
  <si>
    <t>Petite fourniture</t>
  </si>
  <si>
    <t>Main-d’œuvre</t>
  </si>
  <si>
    <t>Démolition</t>
  </si>
  <si>
    <t>h/homme</t>
  </si>
  <si>
    <t>Étançonnement</t>
  </si>
  <si>
    <t>Calepinage</t>
  </si>
  <si>
    <t>TOTAL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</si>
</sst>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>
      <pane ySplit="1" topLeftCell="A2" activePane="bottomLeft" state="frozen"/>
      <selection pane="bottomLeft" activeCell="U1" sqref="U1:Y1048576"/>
    </sheetView>
  </sheetViews>
  <sheetFormatPr baseColWidth="10" defaultColWidth="8.83203125" defaultRowHeight="15" x14ac:dyDescent="0.2"/>
  <cols>
    <col min="1" max="1" width="10" customWidth="1"/>
    <col min="2" max="2" width="32" customWidth="1"/>
    <col min="3" max="3" width="14" customWidth="1"/>
    <col min="4" max="4" width="22" customWidth="1"/>
    <col min="5" max="7" width="10" customWidth="1"/>
    <col min="8" max="8" width="9" customWidth="1"/>
    <col min="9" max="9" width="10" customWidth="1"/>
    <col min="10" max="11" width="12" customWidth="1"/>
    <col min="12" max="12" width="10" customWidth="1"/>
    <col min="13" max="13" width="12" customWidth="1"/>
    <col min="14" max="15" width="16" customWidth="1"/>
    <col min="16" max="16" width="14" customWidth="1"/>
    <col min="17" max="17" width="10" customWidth="1"/>
    <col min="18" max="18" width="16.6640625" customWidth="1"/>
    <col min="19" max="19" width="12" customWidth="1"/>
    <col min="20" max="20" width="19.5" customWidth="1"/>
    <col min="21" max="21" width="16" customWidth="1"/>
    <col min="22" max="22" width="18" customWidth="1"/>
    <col min="23" max="23" width="16" customWidth="1"/>
    <col min="24" max="24" width="18" customWidth="1"/>
    <col min="25" max="25" width="26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>
        <v>1</v>
      </c>
      <c r="G2" s="2">
        <v>100</v>
      </c>
      <c r="H2" s="2">
        <v>5</v>
      </c>
      <c r="I2" s="2"/>
      <c r="J2" s="2"/>
      <c r="K2" s="2"/>
      <c r="L2" s="2">
        <f>G2*(1+H2/100)</f>
        <v>105</v>
      </c>
      <c r="M2" s="2">
        <f>F2*L2</f>
        <v>105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">
      <c r="A3" s="2"/>
      <c r="B3" s="2"/>
      <c r="C3" s="2" t="s">
        <v>27</v>
      </c>
      <c r="D3" s="2" t="s">
        <v>30</v>
      </c>
      <c r="E3" s="2" t="s">
        <v>29</v>
      </c>
      <c r="F3" s="2">
        <v>0</v>
      </c>
      <c r="G3" s="2">
        <v>0</v>
      </c>
      <c r="H3" s="2">
        <v>0</v>
      </c>
      <c r="I3" s="2"/>
      <c r="J3" s="2"/>
      <c r="K3" s="2"/>
      <c r="L3" s="2">
        <f>G3*(1+H3/100)</f>
        <v>0</v>
      </c>
      <c r="M3" s="2">
        <f>F3*L3</f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">
      <c r="A4" s="2"/>
      <c r="B4" s="2"/>
      <c r="C4" s="2" t="s">
        <v>27</v>
      </c>
      <c r="D4" s="2" t="s">
        <v>31</v>
      </c>
      <c r="E4" s="2" t="s">
        <v>29</v>
      </c>
      <c r="F4" s="2">
        <v>0</v>
      </c>
      <c r="G4" s="2">
        <v>0</v>
      </c>
      <c r="H4" s="2">
        <v>0</v>
      </c>
      <c r="I4" s="2"/>
      <c r="J4" s="2"/>
      <c r="K4" s="2"/>
      <c r="L4" s="2">
        <f>G4*(1+H4/100)</f>
        <v>0</v>
      </c>
      <c r="M4" s="2">
        <f>F4*L4</f>
        <v>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">
      <c r="A5" s="3"/>
      <c r="B5" s="3"/>
      <c r="C5" s="3" t="s">
        <v>32</v>
      </c>
      <c r="D5" s="3" t="s">
        <v>33</v>
      </c>
      <c r="E5" s="3" t="s">
        <v>34</v>
      </c>
      <c r="F5" s="3">
        <v>0</v>
      </c>
      <c r="G5" s="3"/>
      <c r="H5" s="3">
        <v>5</v>
      </c>
      <c r="I5" s="3">
        <v>3</v>
      </c>
      <c r="J5" s="3">
        <v>55</v>
      </c>
      <c r="K5" s="3">
        <v>8</v>
      </c>
      <c r="L5" s="3">
        <f>J5*(1+H5/100)</f>
        <v>57.75</v>
      </c>
      <c r="M5" s="3">
        <f>K5*L5</f>
        <v>462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s="3"/>
      <c r="B6" s="3"/>
      <c r="C6" s="3" t="s">
        <v>32</v>
      </c>
      <c r="D6" s="3" t="s">
        <v>35</v>
      </c>
      <c r="E6" s="3" t="s">
        <v>34</v>
      </c>
      <c r="F6" s="3">
        <v>0</v>
      </c>
      <c r="G6" s="3"/>
      <c r="H6" s="3">
        <v>10</v>
      </c>
      <c r="I6" s="3">
        <v>1</v>
      </c>
      <c r="J6" s="3">
        <v>0</v>
      </c>
      <c r="K6" s="3">
        <f>F6*I6</f>
        <v>0</v>
      </c>
      <c r="L6" s="3">
        <f>J6*(1+H6/100)</f>
        <v>0</v>
      </c>
      <c r="M6" s="3">
        <f>K6*L6</f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3"/>
      <c r="B7" s="3"/>
      <c r="C7" s="3" t="s">
        <v>32</v>
      </c>
      <c r="D7" s="3" t="s">
        <v>36</v>
      </c>
      <c r="E7" s="3" t="s">
        <v>34</v>
      </c>
      <c r="F7" s="3">
        <v>0</v>
      </c>
      <c r="G7" s="3"/>
      <c r="H7" s="3">
        <v>10</v>
      </c>
      <c r="I7" s="3">
        <v>1</v>
      </c>
      <c r="J7" s="3">
        <v>0</v>
      </c>
      <c r="K7" s="3">
        <f>F7*I7</f>
        <v>0</v>
      </c>
      <c r="L7" s="3">
        <f>J7*(1+H7/100)</f>
        <v>0</v>
      </c>
      <c r="M7" s="3">
        <f>K7*L7</f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3"/>
      <c r="B8" s="3"/>
      <c r="C8" s="3" t="s">
        <v>37</v>
      </c>
      <c r="D8" s="3"/>
      <c r="E8" s="3"/>
      <c r="F8" s="3"/>
      <c r="G8" s="3"/>
      <c r="H8" s="3"/>
      <c r="I8" s="3"/>
      <c r="J8" s="3"/>
      <c r="K8" s="3"/>
      <c r="L8" s="3"/>
      <c r="M8" s="3">
        <f>SUM(M2,M3,M4,M5,M6,M7)</f>
        <v>567</v>
      </c>
      <c r="N8" s="3">
        <f>SUM(M2,M3,M4)</f>
        <v>105</v>
      </c>
      <c r="O8" s="3"/>
      <c r="P8" s="3">
        <f>SUM(M5,M6,M7)</f>
        <v>462</v>
      </c>
      <c r="Q8" s="3">
        <v>1</v>
      </c>
      <c r="R8" s="3">
        <f>IFERROR(N8/Q8,0)</f>
        <v>105</v>
      </c>
      <c r="S8" s="3">
        <f>IFERROR(P8/Q8,0)</f>
        <v>462</v>
      </c>
      <c r="T8" s="3">
        <f>IFERROR(M8/Q8,0)</f>
        <v>567</v>
      </c>
      <c r="U8" s="3">
        <v>0</v>
      </c>
      <c r="V8" s="3">
        <v>0</v>
      </c>
      <c r="W8" s="3">
        <v>0</v>
      </c>
      <c r="X8" s="3">
        <f>(V8+W8)-M8</f>
        <v>-567</v>
      </c>
      <c r="Y8" s="3">
        <f>IFERROR(((V8+W8)-M8)/M8,0)</f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Prix_de_revient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2026-01-21T11:51:51Z</dcterms:created>
  <dcterms:modified xsi:type="dcterms:W3CDTF">2026-01-21T12:53:23Z</dcterms:modified>
</cp:coreProperties>
</file>
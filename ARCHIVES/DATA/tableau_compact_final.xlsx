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CT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92D05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1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22" customWidth="1" min="3" max="3"/>
    <col width="18" customWidth="1" min="4" max="4"/>
    <col width="32" customWidth="1" min="5" max="5"/>
    <col width="10" customWidth="1" min="6" max="6"/>
    <col width="14" customWidth="1" min="7" max="7"/>
    <col width="18" customWidth="1" min="8" max="8"/>
    <col width="16" customWidth="1" min="9" max="9"/>
    <col width="10" customWidth="1" min="10" max="10"/>
    <col width="16" customWidth="1" min="11" max="11"/>
    <col width="22" customWidth="1" min="12" max="12"/>
    <col width="12" customWidth="1" min="13" max="13"/>
    <col width="14" customWidth="1" min="14" max="14"/>
  </cols>
  <sheetData>
    <row r="1">
      <c r="A1" s="1" t="inlineStr">
        <is>
          <t>Article SCS</t>
        </is>
      </c>
      <c r="B1" s="1" t="inlineStr">
        <is>
          <t>Bordereau original ou reçu</t>
        </is>
      </c>
      <c r="C1" s="1" t="n"/>
      <c r="D1" s="1" t="n"/>
      <c r="E1" s="2" t="inlineStr">
        <is>
          <t>Désignation  prix de revient matière</t>
        </is>
      </c>
      <c r="F1" s="2" t="n"/>
      <c r="G1" s="2" t="n"/>
      <c r="H1" s="2" t="n"/>
      <c r="I1" s="2" t="inlineStr">
        <is>
          <t>Prix de revient unitaire</t>
        </is>
      </c>
      <c r="J1" s="2" t="n"/>
      <c r="K1" s="2" t="n"/>
      <c r="L1" s="2" t="n"/>
      <c r="M1" s="2" t="n"/>
      <c r="N1" s="2" t="n"/>
    </row>
    <row r="2">
      <c r="A2" s="1" t="n"/>
      <c r="B2" s="1" t="inlineStr">
        <is>
          <t>Texte</t>
        </is>
      </c>
      <c r="C2" s="1" t="inlineStr">
        <is>
          <t>Désignation</t>
        </is>
      </c>
      <c r="D2" s="1" t="inlineStr">
        <is>
          <t>Quantité métrée détaillé</t>
        </is>
      </c>
      <c r="E2" s="1" t="inlineStr">
        <is>
          <t>texte</t>
        </is>
      </c>
      <c r="F2" s="1" t="inlineStr">
        <is>
          <t>Unité</t>
        </is>
      </c>
      <c r="G2" s="1" t="inlineStr">
        <is>
          <t>Qté poste</t>
        </is>
      </c>
      <c r="H2" s="1" t="inlineStr">
        <is>
          <t>Perte % sur conditionnement</t>
        </is>
      </c>
      <c r="I2" s="1" t="inlineStr">
        <is>
          <t>Total matière (poste)</t>
        </is>
      </c>
      <c r="J2" s="1" t="inlineStr">
        <is>
          <t>PU net</t>
        </is>
      </c>
      <c r="K2" s="1" t="inlineStr">
        <is>
          <t>PU Revient (poste)</t>
        </is>
      </c>
      <c r="L2" s="1" t="inlineStr">
        <is>
          <t>Marge % aménagement de chantier</t>
        </is>
      </c>
      <c r="M2" s="1" t="inlineStr">
        <is>
          <t>Marge vente %</t>
        </is>
      </c>
      <c r="N2" s="1" t="inlineStr">
        <is>
          <t>Total ligne</t>
        </is>
      </c>
    </row>
    <row r="3">
      <c r="A3" s="3" t="inlineStr">
        <is>
          <t>3.01</t>
        </is>
      </c>
      <c r="B3" s="3" t="n"/>
      <c r="C3" s="3" t="n"/>
      <c r="D3" s="3" t="n"/>
      <c r="E3" s="3" t="inlineStr">
        <is>
          <t>Transport</t>
        </is>
      </c>
      <c r="F3" s="3">
        <f>SIERREUR(INDEX(DATA!$E:$E;EQUIV("3.01|MAT|Transport";DATA!$A:$A;0));"")</f>
        <v/>
      </c>
      <c r="G3" s="3">
        <f>SIERREUR(INDEX(DATA!$F:$F;EQUIV("3.01|MAT|Transport";DATA!$A:$A;0));"")</f>
        <v/>
      </c>
      <c r="H3" s="3">
        <f>SIERREUR(INDEX(DATA!$G:$G;EQUIV("3.01|MAT|Transport";DATA!$A:$A;0));"")</f>
        <v/>
      </c>
      <c r="I3" s="3">
        <f>SIERREUR(INDEX(DATA!$O:$O;EQUIV("3.01|MAT|Transport";DATA!$A:$A;0));"")</f>
        <v/>
      </c>
      <c r="J3" s="3">
        <f>SIERREUR(INDEX(DATA!$H:$H;EQUIV("3.01|MAT|Transport";DATA!$A:$A;0));"")</f>
        <v/>
      </c>
      <c r="K3" s="3">
        <f>SIERREUR(INDEX(DATA!$S:$S;EQUIV("3.01|MAT|Transport";DATA!$A:$A;0));"")</f>
        <v/>
      </c>
      <c r="L3" s="3">
        <f>SIERREUR(INDEX(DATA!$M:$M;EQUIV("3.01|MAT|Transport";DATA!$A:$A;0));"")</f>
        <v/>
      </c>
      <c r="M3" s="3">
        <f>SIERREUR(INDEX(DATA!$N:$N;EQUIV("3.01|MAT|Transport";DATA!$A:$A;0));"")</f>
        <v/>
      </c>
      <c r="N3" s="3">
        <f>SIERREUR(INDEX(DATA!$T:$T;EQUIV("3.01|MAT|Transport";DATA!$A:$A;0));"")</f>
        <v/>
      </c>
    </row>
    <row r="4">
      <c r="A4" s="3" t="n"/>
      <c r="B4" s="3" t="n"/>
      <c r="C4" s="3" t="n"/>
      <c r="D4" s="3" t="n"/>
      <c r="E4" s="3" t="inlineStr">
        <is>
          <t>Petit matériel</t>
        </is>
      </c>
      <c r="F4" s="3">
        <f>SIERREUR(INDEX(DATA!$E:$E;EQUIV("3.01|MAT|Petit matériel";DATA!$A:$A;0));"")</f>
        <v/>
      </c>
      <c r="G4" s="3">
        <f>SIERREUR(INDEX(DATA!$F:$F;EQUIV("3.01|MAT|Petit matériel";DATA!$A:$A;0));"")</f>
        <v/>
      </c>
      <c r="H4" s="3">
        <f>SIERREUR(INDEX(DATA!$G:$G;EQUIV("3.01|MAT|Petit matériel";DATA!$A:$A;0));"")</f>
        <v/>
      </c>
      <c r="I4" s="3">
        <f>SIERREUR(INDEX(DATA!$O:$O;EQUIV("3.01|MAT|Petit matériel";DATA!$A:$A;0));"")</f>
        <v/>
      </c>
      <c r="J4" s="3">
        <f>SIERREUR(INDEX(DATA!$H:$H;EQUIV("3.01|MAT|Petit matériel";DATA!$A:$A;0));"")</f>
        <v/>
      </c>
      <c r="K4" s="3">
        <f>SIERREUR(INDEX(DATA!$S:$S;EQUIV("3.01|MAT|Petit matériel";DATA!$A:$A;0));"")</f>
        <v/>
      </c>
      <c r="L4" s="3">
        <f>SIERREUR(INDEX(DATA!$M:$M;EQUIV("3.01|MAT|Petit matériel";DATA!$A:$A;0));"")</f>
        <v/>
      </c>
      <c r="M4" s="3">
        <f>SIERREUR(INDEX(DATA!$N:$N;EQUIV("3.01|MAT|Petit matériel";DATA!$A:$A;0));"")</f>
        <v/>
      </c>
      <c r="N4" s="3">
        <f>SIERREUR(INDEX(DATA!$T:$T;EQUIV("3.01|MAT|Petit matériel";DATA!$A:$A;0));"")</f>
        <v/>
      </c>
    </row>
    <row r="5">
      <c r="A5" s="3" t="n"/>
      <c r="B5" s="3" t="n"/>
      <c r="C5" s="3" t="n"/>
      <c r="D5" s="3" t="n"/>
      <c r="E5" s="3" t="inlineStr">
        <is>
          <t>Briques</t>
        </is>
      </c>
      <c r="F5" s="3">
        <f>SIERREUR(INDEX(DATA!$E:$E;EQUIV("3.01|MAT|Briques";DATA!$A:$A;0));"")</f>
        <v/>
      </c>
      <c r="G5" s="3">
        <f>SIERREUR(INDEX(DATA!$F:$F;EQUIV("3.01|MAT|Briques";DATA!$A:$A;0));"")</f>
        <v/>
      </c>
      <c r="H5" s="3">
        <f>SIERREUR(INDEX(DATA!$G:$G;EQUIV("3.01|MAT|Briques";DATA!$A:$A;0));"")</f>
        <v/>
      </c>
      <c r="I5" s="3">
        <f>SIERREUR(INDEX(DATA!$O:$O;EQUIV("3.01|MAT|Briques";DATA!$A:$A;0));"")</f>
        <v/>
      </c>
      <c r="J5" s="3">
        <f>SIERREUR(INDEX(DATA!$H:$H;EQUIV("3.01|MAT|Briques";DATA!$A:$A;0));"")</f>
        <v/>
      </c>
      <c r="K5" s="3">
        <f>SIERREUR(INDEX(DATA!$S:$S;EQUIV("3.01|MAT|Briques";DATA!$A:$A;0));"")</f>
        <v/>
      </c>
      <c r="L5" s="3">
        <f>SIERREUR(INDEX(DATA!$M:$M;EQUIV("3.01|MAT|Briques";DATA!$A:$A;0));"")</f>
        <v/>
      </c>
      <c r="M5" s="3">
        <f>SIERREUR(INDEX(DATA!$N:$N;EQUIV("3.01|MAT|Briques";DATA!$A:$A;0));"")</f>
        <v/>
      </c>
      <c r="N5" s="3">
        <f>SIERREUR(INDEX(DATA!$T:$T;EQUIV("3.01|MAT|Briques";DATA!$A:$A;0));"")</f>
        <v/>
      </c>
    </row>
    <row r="6">
      <c r="A6" s="3" t="n"/>
      <c r="B6" s="3" t="n"/>
      <c r="C6" s="3" t="n"/>
      <c r="D6" s="3" t="n"/>
      <c r="E6" s="3" t="inlineStr">
        <is>
          <t>pierres</t>
        </is>
      </c>
      <c r="F6" s="3">
        <f>SIERREUR(INDEX(DATA!$E:$E;EQUIV("3.01|MAT|pierres";DATA!$A:$A;0));"")</f>
        <v/>
      </c>
      <c r="G6" s="3">
        <f>SIERREUR(INDEX(DATA!$F:$F;EQUIV("3.01|MAT|pierres";DATA!$A:$A;0));"")</f>
        <v/>
      </c>
      <c r="H6" s="3">
        <f>SIERREUR(INDEX(DATA!$G:$G;EQUIV("3.01|MAT|pierres";DATA!$A:$A;0));"")</f>
        <v/>
      </c>
      <c r="I6" s="3">
        <f>SIERREUR(INDEX(DATA!$O:$O;EQUIV("3.01|MAT|pierres";DATA!$A:$A;0));"")</f>
        <v/>
      </c>
      <c r="J6" s="3">
        <f>SIERREUR(INDEX(DATA!$H:$H;EQUIV("3.01|MAT|pierres";DATA!$A:$A;0));"")</f>
        <v/>
      </c>
      <c r="K6" s="3">
        <f>SIERREUR(INDEX(DATA!$S:$S;EQUIV("3.01|MAT|pierres";DATA!$A:$A;0));"")</f>
        <v/>
      </c>
      <c r="L6" s="3">
        <f>SIERREUR(INDEX(DATA!$M:$M;EQUIV("3.01|MAT|pierres";DATA!$A:$A;0));"")</f>
        <v/>
      </c>
      <c r="M6" s="3">
        <f>SIERREUR(INDEX(DATA!$N:$N;EQUIV("3.01|MAT|pierres";DATA!$A:$A;0));"")</f>
        <v/>
      </c>
      <c r="N6" s="3">
        <f>SIERREUR(INDEX(DATA!$T:$T;EQUIV("3.01|MAT|pierres";DATA!$A:$A;0));"")</f>
        <v/>
      </c>
    </row>
    <row r="7">
      <c r="A7" s="3" t="n"/>
      <c r="B7" s="3" t="n"/>
      <c r="C7" s="3" t="n"/>
      <c r="D7" s="3" t="n"/>
      <c r="E7" s="2" t="inlineStr">
        <is>
          <t>Désignation  prix de revient main d’œuvre</t>
        </is>
      </c>
      <c r="F7" s="1" t="inlineStr">
        <is>
          <t>Nb hommes</t>
        </is>
      </c>
      <c r="G7" s="1" t="inlineStr">
        <is>
          <t>Heures hommes jour</t>
        </is>
      </c>
      <c r="H7" s="1" t="inlineStr">
        <is>
          <t>Total Heures (poste)</t>
        </is>
      </c>
      <c r="I7" s="1" t="inlineStr">
        <is>
          <t>Délai (jours)</t>
        </is>
      </c>
      <c r="J7" s="1" t="inlineStr">
        <is>
          <t>Taux horaire</t>
        </is>
      </c>
      <c r="K7" s="1" t="inlineStr">
        <is>
          <t>Coût MO (poste)</t>
        </is>
      </c>
      <c r="L7" s="1" t="inlineStr">
        <is>
          <t>Marge % aménagement de chantier</t>
        </is>
      </c>
      <c r="M7" s="1" t="inlineStr">
        <is>
          <t>Marge vente %</t>
        </is>
      </c>
      <c r="N7" s="1" t="inlineStr">
        <is>
          <t>Total ligne</t>
        </is>
      </c>
    </row>
    <row r="8">
      <c r="A8" s="3" t="n"/>
      <c r="B8" s="3" t="n"/>
      <c r="C8" s="3" t="n"/>
      <c r="D8" s="3" t="n"/>
      <c r="E8" s="3" t="inlineStr">
        <is>
          <t>Piquage de briques  50 pcs homme jour</t>
        </is>
      </c>
      <c r="F8" s="3">
        <f>SIERREUR(INDEX(DATA!$I:$I;EQUIV("3.01|MO|Piquage de briques  50 pcs homme jour";DATA!$A:$A;0));"")</f>
        <v/>
      </c>
      <c r="G8" s="3">
        <f>SIERREUR(INDEX(DATA!$J:$J;EQUIV("3.01|MO|Piquage de briques  50 pcs homme jour";DATA!$A:$A;0));"")</f>
        <v/>
      </c>
      <c r="H8" s="3">
        <f>SIERREUR(INDEX(DATA!$P:$P;EQUIV("3.01|MO|Piquage de briques  50 pcs homme jour";DATA!$A:$A;0));"")</f>
        <v/>
      </c>
      <c r="I8" s="3">
        <f>SIERREUR(INDEX(DATA!$K:$K;EQUIV("3.01|MO|Piquage de briques  50 pcs homme jour";DATA!$A:$A;0));"")</f>
        <v/>
      </c>
      <c r="J8" s="3">
        <f>SIERREUR(INDEX(DATA!$L:$L;EQUIV("3.01|MO|Piquage de briques  50 pcs homme jour";DATA!$A:$A;0));"")</f>
        <v/>
      </c>
      <c r="K8" s="3">
        <f>SIERREUR(INDEX(DATA!$Q:$Q;EQUIV("3.01|MO|Piquage de briques  50 pcs homme jour";DATA!$A:$A;0));"")</f>
        <v/>
      </c>
      <c r="L8" s="3">
        <f>SIERREUR(INDEX(DATA!$M:$M;EQUIV("3.01|MO|Piquage de briques  50 pcs homme jour";DATA!$A:$A;0));"")</f>
        <v/>
      </c>
      <c r="M8" s="3">
        <f>SIERREUR(INDEX(DATA!$N:$N;EQUIV("3.01|MO|Piquage de briques  50 pcs homme jour";DATA!$A:$A;0));"")</f>
        <v/>
      </c>
      <c r="N8" s="3">
        <f>SIERREUR(INDEX(DATA!$T:$T;EQUIV("3.01|MO|Piquage de briques  50 pcs homme jour";DATA!$A:$A;0));"")</f>
        <v/>
      </c>
    </row>
    <row r="9">
      <c r="A9" s="3" t="n"/>
      <c r="B9" s="3" t="n"/>
      <c r="C9" s="3" t="n"/>
      <c r="D9" s="3" t="n"/>
      <c r="E9" s="3" t="inlineStr">
        <is>
          <t>Maçonnerie briques  03 m3 homme jour</t>
        </is>
      </c>
      <c r="F9" s="3">
        <f>SIERREUR(INDEX(DATA!$I:$I;EQUIV("3.01|MO|Maçonnerie briques  03 m3 homme jour";DATA!$A:$A;0));"")</f>
        <v/>
      </c>
      <c r="G9" s="3">
        <f>SIERREUR(INDEX(DATA!$J:$J;EQUIV("3.01|MO|Maçonnerie briques  03 m3 homme jour";DATA!$A:$A;0));"")</f>
        <v/>
      </c>
      <c r="H9" s="3">
        <f>SIERREUR(INDEX(DATA!$P:$P;EQUIV("3.01|MO|Maçonnerie briques  03 m3 homme jour";DATA!$A:$A;0));"")</f>
        <v/>
      </c>
      <c r="I9" s="3">
        <f>SIERREUR(INDEX(DATA!$K:$K;EQUIV("3.01|MO|Maçonnerie briques  03 m3 homme jour";DATA!$A:$A;0));"")</f>
        <v/>
      </c>
      <c r="J9" s="3">
        <f>SIERREUR(INDEX(DATA!$L:$L;EQUIV("3.01|MO|Maçonnerie briques  03 m3 homme jour";DATA!$A:$A;0));"")</f>
        <v/>
      </c>
      <c r="K9" s="3">
        <f>SIERREUR(INDEX(DATA!$Q:$Q;EQUIV("3.01|MO|Maçonnerie briques  03 m3 homme jour";DATA!$A:$A;0));"")</f>
        <v/>
      </c>
      <c r="L9" s="3">
        <f>SIERREUR(INDEX(DATA!$M:$M;EQUIV("3.01|MO|Maçonnerie briques  03 m3 homme jour";DATA!$A:$A;0));"")</f>
        <v/>
      </c>
      <c r="M9" s="3">
        <f>SIERREUR(INDEX(DATA!$N:$N;EQUIV("3.01|MO|Maçonnerie briques  03 m3 homme jour";DATA!$A:$A;0));"")</f>
        <v/>
      </c>
      <c r="N9" s="3">
        <f>SIERREUR(INDEX(DATA!$T:$T;EQUIV("3.01|MO|Maçonnerie briques  03 m3 homme jour";DATA!$A:$A;0));"")</f>
        <v/>
      </c>
    </row>
    <row r="10">
      <c r="A10" s="3" t="n"/>
      <c r="B10" s="3" t="n"/>
      <c r="C10" s="3" t="n"/>
      <c r="D10" s="3" t="n"/>
      <c r="E10" s="3" t="inlineStr">
        <is>
          <t>Maçonnerie pierres  02 m3 homme jour</t>
        </is>
      </c>
      <c r="F10" s="3">
        <f>SIERREUR(INDEX(DATA!$I:$I;EQUIV("3.01|MO|Maçonnerie pierres  02 m3 homme jour";DATA!$A:$A;0));"")</f>
        <v/>
      </c>
      <c r="G10" s="3">
        <f>SIERREUR(INDEX(DATA!$J:$J;EQUIV("3.01|MO|Maçonnerie pierres  02 m3 homme jour";DATA!$A:$A;0));"")</f>
        <v/>
      </c>
      <c r="H10" s="3">
        <f>SIERREUR(INDEX(DATA!$P:$P;EQUIV("3.01|MO|Maçonnerie pierres  02 m3 homme jour";DATA!$A:$A;0));"")</f>
        <v/>
      </c>
      <c r="I10" s="3">
        <f>SIERREUR(INDEX(DATA!$K:$K;EQUIV("3.01|MO|Maçonnerie pierres  02 m3 homme jour";DATA!$A:$A;0));"")</f>
        <v/>
      </c>
      <c r="J10" s="3">
        <f>SIERREUR(INDEX(DATA!$L:$L;EQUIV("3.01|MO|Maçonnerie pierres  02 m3 homme jour";DATA!$A:$A;0));"")</f>
        <v/>
      </c>
      <c r="K10" s="3">
        <f>SIERREUR(INDEX(DATA!$Q:$Q;EQUIV("3.01|MO|Maçonnerie pierres  02 m3 homme jour";DATA!$A:$A;0));"")</f>
        <v/>
      </c>
      <c r="L10" s="3">
        <f>SIERREUR(INDEX(DATA!$M:$M;EQUIV("3.01|MO|Maçonnerie pierres  02 m3 homme jour";DATA!$A:$A;0));"")</f>
        <v/>
      </c>
      <c r="M10" s="3">
        <f>SIERREUR(INDEX(DATA!$N:$N;EQUIV("3.01|MO|Maçonnerie pierres  02 m3 homme jour";DATA!$A:$A;0));"")</f>
        <v/>
      </c>
      <c r="N10" s="3">
        <f>SIERREUR(INDEX(DATA!$T:$T;EQUIV("3.01|MO|Maçonnerie pierres  02 m3 homme jour";DATA!$A:$A;0));"")</f>
        <v/>
      </c>
    </row>
    <row r="11">
      <c r="A11" s="3" t="n"/>
      <c r="B11" s="3" t="n"/>
      <c r="C11" s="3" t="n"/>
      <c r="D11" s="3" t="n"/>
      <c r="E11" s="3" t="inlineStr">
        <is>
          <t>Démolition 1 m3 homme jour</t>
        </is>
      </c>
      <c r="F11" s="3">
        <f>SIERREUR(INDEX(DATA!$I:$I;EQUIV("3.01|MO|Démolition 1 m3 homme jour";DATA!$A:$A;0));"")</f>
        <v/>
      </c>
      <c r="G11" s="3">
        <f>SIERREUR(INDEX(DATA!$J:$J;EQUIV("3.01|MO|Démolition 1 m3 homme jour";DATA!$A:$A;0));"")</f>
        <v/>
      </c>
      <c r="H11" s="3">
        <f>SIERREUR(INDEX(DATA!$P:$P;EQUIV("3.01|MO|Démolition 1 m3 homme jour";DATA!$A:$A;0));"")</f>
        <v/>
      </c>
      <c r="I11" s="3">
        <f>SIERREUR(INDEX(DATA!$K:$K;EQUIV("3.01|MO|Démolition 1 m3 homme jour";DATA!$A:$A;0));"")</f>
        <v/>
      </c>
      <c r="J11" s="3">
        <f>SIERREUR(INDEX(DATA!$L:$L;EQUIV("3.01|MO|Démolition 1 m3 homme jour";DATA!$A:$A;0));"")</f>
        <v/>
      </c>
      <c r="K11" s="3">
        <f>SIERREUR(INDEX(DATA!$Q:$Q;EQUIV("3.01|MO|Démolition 1 m3 homme jour";DATA!$A:$A;0));"")</f>
        <v/>
      </c>
      <c r="L11" s="3">
        <f>SIERREUR(INDEX(DATA!$M:$M;EQUIV("3.01|MO|Démolition 1 m3 homme jour";DATA!$A:$A;0));"")</f>
        <v/>
      </c>
      <c r="M11" s="3">
        <f>SIERREUR(INDEX(DATA!$N:$N;EQUIV("3.01|MO|Démolition 1 m3 homme jour";DATA!$A:$A;0));"")</f>
        <v/>
      </c>
      <c r="N11" s="3">
        <f>SIERREUR(INDEX(DATA!$T:$T;EQUIV("3.01|MO|Démolition 1 m3 homme jour";DATA!$A:$A;0));"")</f>
        <v/>
      </c>
    </row>
    <row r="13">
      <c r="G13" s="4" t="inlineStr">
        <is>
          <t>Heures réelles (poste)</t>
        </is>
      </c>
      <c r="H13" s="4" t="n"/>
      <c r="I13" s="4" t="inlineStr">
        <is>
          <t>Rendement et résultat en exécution</t>
        </is>
      </c>
      <c r="J13" s="4" t="n"/>
      <c r="K13" s="4" t="n"/>
      <c r="L13" s="4" t="inlineStr">
        <is>
          <t>Coût matière réel (poste)</t>
        </is>
      </c>
      <c r="M13" s="4" t="inlineStr">
        <is>
          <t>Écart % (réel - prévu)</t>
        </is>
      </c>
      <c r="N13" s="4" t="inlineStr">
        <is>
          <t>Écart € (réel - prévu)</t>
        </is>
      </c>
    </row>
  </sheetData>
  <mergeCells count="6">
    <mergeCell ref="I13:K13"/>
    <mergeCell ref="B1:D1"/>
    <mergeCell ref="I1:N1"/>
    <mergeCell ref="E1:H1"/>
    <mergeCell ref="G13:H13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12" customWidth="1" min="3" max="3"/>
    <col width="30" customWidth="1" min="4" max="4"/>
    <col width="10" customWidth="1" min="5" max="5"/>
    <col width="10" customWidth="1" min="6" max="6"/>
    <col width="8" customWidth="1" min="7" max="7"/>
    <col width="10" customWidth="1" min="8" max="8"/>
    <col width="10" customWidth="1" min="9" max="9"/>
    <col width="16" customWidth="1" min="10" max="10"/>
    <col width="12" customWidth="1" min="11" max="11"/>
    <col width="12" customWidth="1" min="12" max="12"/>
    <col width="12" customWidth="1" min="13" max="13"/>
    <col width="10" customWidth="1" min="14" max="14"/>
    <col width="18" customWidth="1" min="15" max="15"/>
    <col width="18" customWidth="1" min="16" max="16"/>
    <col width="14" customWidth="1" min="17" max="17"/>
    <col width="18" customWidth="1" min="18" max="18"/>
    <col width="16" customWidth="1" min="19" max="19"/>
    <col width="14" customWidth="1" min="20" max="20"/>
  </cols>
  <sheetData>
    <row r="1">
      <c r="A1" s="1" t="inlineStr">
        <is>
          <t>Key</t>
        </is>
      </c>
      <c r="B1" s="1" t="inlineStr">
        <is>
          <t>Poste</t>
        </is>
      </c>
      <c r="C1" s="1" t="inlineStr">
        <is>
          <t>Type</t>
        </is>
      </c>
      <c r="D1" s="1" t="inlineStr">
        <is>
          <t>Sous-poste</t>
        </is>
      </c>
      <c r="E1" s="1" t="inlineStr">
        <is>
          <t>Unité</t>
        </is>
      </c>
      <c r="F1" s="1" t="inlineStr">
        <is>
          <t>Qté poste</t>
        </is>
      </c>
      <c r="G1" s="1" t="inlineStr">
        <is>
          <t>Perte</t>
        </is>
      </c>
      <c r="H1" s="1" t="inlineStr">
        <is>
          <t>PU net</t>
        </is>
      </c>
      <c r="I1" s="1" t="inlineStr">
        <is>
          <t>Nb hommes</t>
        </is>
      </c>
      <c r="J1" s="1" t="inlineStr">
        <is>
          <t>Heures hommes jour</t>
        </is>
      </c>
      <c r="K1" s="1" t="inlineStr">
        <is>
          <t>Délai (jours)</t>
        </is>
      </c>
      <c r="L1" s="1" t="inlineStr">
        <is>
          <t>Taux horaire</t>
        </is>
      </c>
      <c r="M1" s="1" t="inlineStr">
        <is>
          <t>Marge chantier</t>
        </is>
      </c>
      <c r="N1" s="1" t="inlineStr">
        <is>
          <t>Marge vente</t>
        </is>
      </c>
      <c r="O1" s="1" t="inlineStr">
        <is>
          <t>Total matière (poste)</t>
        </is>
      </c>
      <c r="P1" s="1" t="inlineStr">
        <is>
          <t>Total Heures (poste)</t>
        </is>
      </c>
      <c r="Q1" s="1" t="inlineStr">
        <is>
          <t>Coût MO (poste)</t>
        </is>
      </c>
      <c r="R1" s="1" t="inlineStr">
        <is>
          <t>Total Revient (poste)</t>
        </is>
      </c>
      <c r="S1" s="1" t="inlineStr">
        <is>
          <t>PU Revient (poste)</t>
        </is>
      </c>
      <c r="T1" s="1" t="inlineStr">
        <is>
          <t>Total ligne</t>
        </is>
      </c>
    </row>
    <row r="2">
      <c r="A2" s="3" t="inlineStr">
        <is>
          <t>3.01|MAT|Transport</t>
        </is>
      </c>
      <c r="B2" s="3" t="inlineStr">
        <is>
          <t>3.01</t>
        </is>
      </c>
      <c r="C2" s="3" t="inlineStr">
        <is>
          <t>Matière</t>
        </is>
      </c>
      <c r="D2" s="3" t="inlineStr">
        <is>
          <t>Transport</t>
        </is>
      </c>
      <c r="E2" s="3" t="inlineStr">
        <is>
          <t>forfait</t>
        </is>
      </c>
      <c r="F2" s="3" t="n">
        <v>1</v>
      </c>
      <c r="G2" s="3" t="n">
        <v>0</v>
      </c>
      <c r="H2" s="3" t="n">
        <v>100</v>
      </c>
      <c r="I2" s="3" t="n"/>
      <c r="J2" s="3" t="n"/>
      <c r="K2" s="3" t="n"/>
      <c r="L2" s="3" t="n"/>
      <c r="M2" s="3" t="n">
        <v>0</v>
      </c>
      <c r="N2" s="3" t="n">
        <v>0</v>
      </c>
      <c r="O2" s="3">
        <f>SI(F2=0;"";F2*H2*(1+G2))</f>
        <v/>
      </c>
      <c r="P2" s="3" t="n">
        <v>0</v>
      </c>
      <c r="Q2" s="3" t="n">
        <v>0</v>
      </c>
      <c r="R2" s="3">
        <f>SI(O2="";"";O2+Q2)</f>
        <v/>
      </c>
      <c r="S2" s="3">
        <f>SI(F2=0;"";R2/F2)</f>
        <v/>
      </c>
      <c r="T2" s="3">
        <f>SI(R2="";"";R2*(1+M2+N2))</f>
        <v/>
      </c>
    </row>
    <row r="3">
      <c r="A3" s="3" t="inlineStr">
        <is>
          <t>3.01|MAT|Petit matériel</t>
        </is>
      </c>
      <c r="B3" s="3" t="inlineStr">
        <is>
          <t>3.01</t>
        </is>
      </c>
      <c r="C3" s="3" t="inlineStr">
        <is>
          <t>Matière</t>
        </is>
      </c>
      <c r="D3" s="3" t="inlineStr">
        <is>
          <t>Petit matériel</t>
        </is>
      </c>
      <c r="E3" s="3" t="inlineStr">
        <is>
          <t>forfait</t>
        </is>
      </c>
      <c r="F3" s="3" t="n">
        <v>1</v>
      </c>
      <c r="G3" s="3" t="n">
        <v>0</v>
      </c>
      <c r="H3" s="3" t="n">
        <v>50</v>
      </c>
      <c r="I3" s="3" t="n"/>
      <c r="J3" s="3" t="n"/>
      <c r="K3" s="3" t="n"/>
      <c r="L3" s="3" t="n"/>
      <c r="M3" s="3" t="n">
        <v>0</v>
      </c>
      <c r="N3" s="3" t="n">
        <v>0</v>
      </c>
      <c r="O3" s="3">
        <f>SI(F3=0;"";F3*H3*(1+G3))</f>
        <v/>
      </c>
      <c r="P3" s="3" t="n">
        <v>0</v>
      </c>
      <c r="Q3" s="3" t="n">
        <v>0</v>
      </c>
      <c r="R3" s="3">
        <f>SI(O3="";"";O3+Q3)</f>
        <v/>
      </c>
      <c r="S3" s="3">
        <f>SI(F3=0;"";R3/F3)</f>
        <v/>
      </c>
      <c r="T3" s="3">
        <f>SI(R3="";"";R3*(1+M3+N3))</f>
        <v/>
      </c>
    </row>
    <row r="4">
      <c r="A4" s="3" t="inlineStr">
        <is>
          <t>3.01|MAT|Briques</t>
        </is>
      </c>
      <c r="B4" s="3" t="inlineStr">
        <is>
          <t>3.01</t>
        </is>
      </c>
      <c r="C4" s="3" t="inlineStr">
        <is>
          <t>Matière</t>
        </is>
      </c>
      <c r="D4" s="3" t="inlineStr">
        <is>
          <t>Briques</t>
        </is>
      </c>
      <c r="E4" s="3" t="inlineStr">
        <is>
          <t>m2</t>
        </is>
      </c>
      <c r="F4" s="3" t="n">
        <v>10</v>
      </c>
      <c r="G4" s="3" t="n">
        <v>0.05</v>
      </c>
      <c r="H4" s="3" t="n">
        <v>12</v>
      </c>
      <c r="I4" s="3" t="n"/>
      <c r="J4" s="3" t="n"/>
      <c r="K4" s="3" t="n"/>
      <c r="L4" s="3" t="n"/>
      <c r="M4" s="3" t="n">
        <v>0</v>
      </c>
      <c r="N4" s="3" t="n">
        <v>0</v>
      </c>
      <c r="O4" s="3">
        <f>SI(F4=0;"";F4*H4*(1+G4))</f>
        <v/>
      </c>
      <c r="P4" s="3" t="n">
        <v>0</v>
      </c>
      <c r="Q4" s="3" t="n">
        <v>0</v>
      </c>
      <c r="R4" s="3">
        <f>SI(O4="";"";O4+Q4)</f>
        <v/>
      </c>
      <c r="S4" s="3">
        <f>SI(F4=0;"";R4/F4)</f>
        <v/>
      </c>
      <c r="T4" s="3">
        <f>SI(R4="";"";R4*(1+M4+N4))</f>
        <v/>
      </c>
    </row>
    <row r="5">
      <c r="A5" s="3" t="inlineStr">
        <is>
          <t>3.01|MAT|pierres</t>
        </is>
      </c>
      <c r="B5" s="3" t="inlineStr">
        <is>
          <t>3.01</t>
        </is>
      </c>
      <c r="C5" s="3" t="inlineStr">
        <is>
          <t>Matière</t>
        </is>
      </c>
      <c r="D5" s="3" t="inlineStr">
        <is>
          <t>pierres</t>
        </is>
      </c>
      <c r="E5" s="3" t="inlineStr">
        <is>
          <t>m2</t>
        </is>
      </c>
      <c r="F5" s="3" t="n">
        <v>10</v>
      </c>
      <c r="G5" s="3" t="n">
        <v>0.05</v>
      </c>
      <c r="H5" s="3" t="n">
        <v>20</v>
      </c>
      <c r="I5" s="3" t="n"/>
      <c r="J5" s="3" t="n"/>
      <c r="K5" s="3" t="n"/>
      <c r="L5" s="3" t="n"/>
      <c r="M5" s="3" t="n">
        <v>0</v>
      </c>
      <c r="N5" s="3" t="n">
        <v>0</v>
      </c>
      <c r="O5" s="3">
        <f>SI(F5=0;"";F5*H5*(1+G5))</f>
        <v/>
      </c>
      <c r="P5" s="3" t="n">
        <v>0</v>
      </c>
      <c r="Q5" s="3" t="n">
        <v>0</v>
      </c>
      <c r="R5" s="3">
        <f>SI(O5="";"";O5+Q5)</f>
        <v/>
      </c>
      <c r="S5" s="3">
        <f>SI(F5=0;"";R5/F5)</f>
        <v/>
      </c>
      <c r="T5" s="3">
        <f>SI(R5="";"";R5*(1+M5+N5))</f>
        <v/>
      </c>
    </row>
    <row r="6">
      <c r="A6" s="3" t="inlineStr">
        <is>
          <t>3.01|MO|Piquage de briques  50 pcs homme jour</t>
        </is>
      </c>
      <c r="B6" s="3" t="inlineStr">
        <is>
          <t>3.01</t>
        </is>
      </c>
      <c r="C6" s="3" t="inlineStr">
        <is>
          <t>Main d’œuvre</t>
        </is>
      </c>
      <c r="D6" s="3" t="inlineStr">
        <is>
          <t>Piquage de briques  50 pcs homme jour</t>
        </is>
      </c>
      <c r="E6" s="3" t="inlineStr">
        <is>
          <t>h/homme</t>
        </is>
      </c>
      <c r="F6" s="3" t="n">
        <v>0</v>
      </c>
      <c r="G6" s="3" t="n">
        <v>0</v>
      </c>
      <c r="H6" s="3" t="n">
        <v>0</v>
      </c>
      <c r="I6" s="3" t="n">
        <v>2</v>
      </c>
      <c r="J6" s="3" t="n">
        <v>7</v>
      </c>
      <c r="K6" s="3" t="n">
        <v>1</v>
      </c>
      <c r="L6" s="3" t="n">
        <v>50</v>
      </c>
      <c r="M6" s="3" t="n">
        <v>0</v>
      </c>
      <c r="N6" s="3" t="n">
        <v>0</v>
      </c>
      <c r="O6" s="3" t="n">
        <v>0</v>
      </c>
      <c r="P6" s="3">
        <f>SI(I6=0;"";I6*J6*K6)</f>
        <v/>
      </c>
      <c r="Q6" s="3">
        <f>SI(P6="";"";P6*L6)</f>
        <v/>
      </c>
      <c r="R6" s="3">
        <f>SI(OU(O6="";Q6="");"";O6+Q6)</f>
        <v/>
      </c>
      <c r="S6" s="3">
        <f>SI(R6="";"";R6)</f>
        <v/>
      </c>
      <c r="T6" s="3">
        <f>SI(R6="";"";R6*(1+M6+N6))</f>
        <v/>
      </c>
    </row>
    <row r="7">
      <c r="A7" s="3" t="inlineStr">
        <is>
          <t>3.01|MO|Maçonnerie briques  03 m3 homme jour</t>
        </is>
      </c>
      <c r="B7" s="3" t="inlineStr">
        <is>
          <t>3.01</t>
        </is>
      </c>
      <c r="C7" s="3" t="inlineStr">
        <is>
          <t>Main d’œuvre</t>
        </is>
      </c>
      <c r="D7" s="3" t="inlineStr">
        <is>
          <t>Maçonnerie briques  03 m3 homme jour</t>
        </is>
      </c>
      <c r="E7" s="3" t="inlineStr">
        <is>
          <t>h/homme</t>
        </is>
      </c>
      <c r="F7" s="3" t="n">
        <v>0</v>
      </c>
      <c r="G7" s="3" t="n">
        <v>0</v>
      </c>
      <c r="H7" s="3" t="n">
        <v>0</v>
      </c>
      <c r="I7" s="3" t="n">
        <v>3</v>
      </c>
      <c r="J7" s="3" t="n">
        <v>7</v>
      </c>
      <c r="K7" s="3" t="n">
        <v>1</v>
      </c>
      <c r="L7" s="3" t="n">
        <v>50</v>
      </c>
      <c r="M7" s="3" t="n">
        <v>0</v>
      </c>
      <c r="N7" s="3" t="n">
        <v>0</v>
      </c>
      <c r="O7" s="3" t="n">
        <v>0</v>
      </c>
      <c r="P7" s="3">
        <f>SI(I7=0;"";I7*J7*K7)</f>
        <v/>
      </c>
      <c r="Q7" s="3">
        <f>SI(P7="";"";P7*L7)</f>
        <v/>
      </c>
      <c r="R7" s="3">
        <f>SI(OU(O7="";Q7="");"";O7+Q7)</f>
        <v/>
      </c>
      <c r="S7" s="3">
        <f>SI(R7="";"";R7)</f>
        <v/>
      </c>
      <c r="T7" s="3">
        <f>SI(R7="";"";R7*(1+M7+N7))</f>
        <v/>
      </c>
    </row>
    <row r="8">
      <c r="A8" s="3" t="inlineStr">
        <is>
          <t>3.01|MO|Maçonnerie pierres  02 m3 homme jour</t>
        </is>
      </c>
      <c r="B8" s="3" t="inlineStr">
        <is>
          <t>3.01</t>
        </is>
      </c>
      <c r="C8" s="3" t="inlineStr">
        <is>
          <t>Main d’œuvre</t>
        </is>
      </c>
      <c r="D8" s="3" t="inlineStr">
        <is>
          <t>Maçonnerie pierres  02 m3 homme jour</t>
        </is>
      </c>
      <c r="E8" s="3" t="inlineStr">
        <is>
          <t>h/homme</t>
        </is>
      </c>
      <c r="F8" s="3" t="n">
        <v>0</v>
      </c>
      <c r="G8" s="3" t="n">
        <v>0</v>
      </c>
      <c r="H8" s="3" t="n">
        <v>0</v>
      </c>
      <c r="I8" s="3" t="n">
        <v>2</v>
      </c>
      <c r="J8" s="3" t="n">
        <v>7</v>
      </c>
      <c r="K8" s="3" t="n">
        <v>1</v>
      </c>
      <c r="L8" s="3" t="n">
        <v>50</v>
      </c>
      <c r="M8" s="3" t="n">
        <v>0</v>
      </c>
      <c r="N8" s="3" t="n">
        <v>0</v>
      </c>
      <c r="O8" s="3" t="n">
        <v>0</v>
      </c>
      <c r="P8" s="3">
        <f>SI(I8=0;"";I8*J8*K8)</f>
        <v/>
      </c>
      <c r="Q8" s="3">
        <f>SI(P8="";"";P8*L8)</f>
        <v/>
      </c>
      <c r="R8" s="3">
        <f>SI(OU(O8="";Q8="");"";O8+Q8)</f>
        <v/>
      </c>
      <c r="S8" s="3">
        <f>SI(R8="";"";R8)</f>
        <v/>
      </c>
      <c r="T8" s="3">
        <f>SI(R8="";"";R8*(1+M8+N8))</f>
        <v/>
      </c>
    </row>
    <row r="9">
      <c r="A9" s="3" t="inlineStr">
        <is>
          <t>3.01|MO|Démolition 1 m3 homme jour</t>
        </is>
      </c>
      <c r="B9" s="3" t="inlineStr">
        <is>
          <t>3.01</t>
        </is>
      </c>
      <c r="C9" s="3" t="inlineStr">
        <is>
          <t>Main d’œuvre</t>
        </is>
      </c>
      <c r="D9" s="3" t="inlineStr">
        <is>
          <t>Démolition 1 m3 homme jour</t>
        </is>
      </c>
      <c r="E9" s="3" t="inlineStr">
        <is>
          <t>h/homme</t>
        </is>
      </c>
      <c r="F9" s="3" t="n">
        <v>0</v>
      </c>
      <c r="G9" s="3" t="n">
        <v>0</v>
      </c>
      <c r="H9" s="3" t="n">
        <v>0</v>
      </c>
      <c r="I9" s="3" t="n">
        <v>1</v>
      </c>
      <c r="J9" s="3" t="n">
        <v>7</v>
      </c>
      <c r="K9" s="3" t="n">
        <v>1</v>
      </c>
      <c r="L9" s="3" t="n">
        <v>50</v>
      </c>
      <c r="M9" s="3" t="n">
        <v>0</v>
      </c>
      <c r="N9" s="3" t="n">
        <v>0</v>
      </c>
      <c r="O9" s="3" t="n">
        <v>0</v>
      </c>
      <c r="P9" s="3">
        <f>SI(I9=0;"";I9*J9*K9)</f>
        <v/>
      </c>
      <c r="Q9" s="3">
        <f>SI(P9="";"";P9*L9)</f>
        <v/>
      </c>
      <c r="R9" s="3">
        <f>SI(OU(O9="";Q9="");"";O9+Q9)</f>
        <v/>
      </c>
      <c r="S9" s="3">
        <f>SI(R9="";"";R9)</f>
        <v/>
      </c>
      <c r="T9" s="3">
        <f>SI(R9="";"";R9*(1+M9+N9))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2026-01-22T13:14:03Z</dcterms:created>
  <dcterms:modified xsi:type="dcterms:W3CDTF">2026-01-22T13:14:03Z</dcterms:modified>
</cp:coreProperties>
</file>
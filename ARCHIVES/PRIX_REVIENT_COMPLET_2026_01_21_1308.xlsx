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enterre/Desktop/MonProjetPython/"/>
    </mc:Choice>
  </mc:AlternateContent>
  <xr:revisionPtr revIDLastSave="0" documentId="13_ncr:1_{C137E315-2898-AF49-B841-98F6B58B9D07}" xr6:coauthVersionLast="47" xr6:coauthVersionMax="47" xr10:uidLastSave="{00000000-0000-0000-0000-000000000000}"/>
  <bookViews>
    <workbookView xWindow="0" yWindow="500" windowWidth="46800" windowHeight="26600" xr2:uid="{00000000-000D-0000-FFFF-FFFF00000000}"/>
  </bookViews>
  <sheets>
    <sheet name="Prix_de_rev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O8" i="1"/>
  <c r="L7" i="1"/>
  <c r="K7" i="1"/>
  <c r="L6" i="1"/>
  <c r="K6" i="1"/>
  <c r="M6" i="1" s="1"/>
  <c r="L5" i="1"/>
  <c r="M5" i="1" s="1"/>
  <c r="P8" i="1" s="1"/>
  <c r="L4" i="1"/>
  <c r="M4" i="1" s="1"/>
  <c r="L3" i="1"/>
  <c r="M3" i="1" s="1"/>
  <c r="L2" i="1"/>
  <c r="M2" i="1" s="1"/>
  <c r="M7" i="1" l="1"/>
  <c r="Q8" i="1" s="1"/>
  <c r="S8" i="1" s="1"/>
  <c r="U8" i="1" s="1"/>
  <c r="V8" i="1" s="1"/>
  <c r="W8" i="1"/>
</calcChain>
</file>

<file path=xl/sharedStrings.xml><?xml version="1.0" encoding="utf-8"?>
<sst xmlns="http://schemas.openxmlformats.org/spreadsheetml/2006/main" count="49" uniqueCount="41">
  <si>
    <t>Poste</t>
  </si>
  <si>
    <t>Désignation</t>
  </si>
  <si>
    <t>Type</t>
  </si>
  <si>
    <t>Sous-poste</t>
  </si>
  <si>
    <t>Unité</t>
  </si>
  <si>
    <t>Quantité</t>
  </si>
  <si>
    <t>PU net</t>
  </si>
  <si>
    <t>Marge %</t>
  </si>
  <si>
    <t>Nb hommes</t>
  </si>
  <si>
    <t>Taux horaire</t>
  </si>
  <si>
    <t>Heures total</t>
  </si>
  <si>
    <t>PU vente ligne</t>
  </si>
  <si>
    <t>Total ligne</t>
  </si>
  <si>
    <t>Total Matière (poste)</t>
  </si>
  <si>
    <t>Total Heures (poste)</t>
  </si>
  <si>
    <t>Coût MO (poste)</t>
  </si>
  <si>
    <t>Total Revient (poste)</t>
  </si>
  <si>
    <t>Qté poste</t>
  </si>
  <si>
    <t>PU Revient (poste)</t>
  </si>
  <si>
    <t>Marge vente %</t>
  </si>
  <si>
    <t>PU Vente (poste)</t>
  </si>
  <si>
    <t>Total Vente (poste)</t>
  </si>
  <si>
    <t>Délai (jours)</t>
  </si>
  <si>
    <t>3.01</t>
  </si>
  <si>
    <t>Container décombre 10 m³</t>
  </si>
  <si>
    <t>Matière</t>
  </si>
  <si>
    <t>Container</t>
  </si>
  <si>
    <t>forfait</t>
  </si>
  <si>
    <t>Transport</t>
  </si>
  <si>
    <t>Petite fourniture</t>
  </si>
  <si>
    <t>Main-d’œuvre</t>
  </si>
  <si>
    <t>Démolition</t>
  </si>
  <si>
    <t>h/homme</t>
  </si>
  <si>
    <t>Étançonnement</t>
  </si>
  <si>
    <t>Calepinage</t>
  </si>
  <si>
    <t>TOTAL POSTE</t>
  </si>
  <si>
    <t>Heures réelles (poste)</t>
  </si>
  <si>
    <t>Coût matière réel (poste)</t>
  </si>
  <si>
    <t>Coût MO réel (poste)</t>
  </si>
  <si>
    <t>Écart € (réel - prévu)</t>
  </si>
  <si>
    <t>Écart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</si>
</sst>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 x14ac:dyDescent="0.2"/>
  <cols>
    <col min="1" max="1" width="10" customWidth="1"/>
    <col min="2" max="2" width="34" customWidth="1"/>
    <col min="3" max="3" width="14" customWidth="1"/>
    <col min="4" max="4" width="22" customWidth="1"/>
    <col min="5" max="7" width="10" customWidth="1"/>
    <col min="8" max="8" width="9" customWidth="1"/>
    <col min="9" max="9" width="10" customWidth="1"/>
    <col min="10" max="13" width="12" customWidth="1"/>
    <col min="14" max="15" width="18" customWidth="1"/>
    <col min="16" max="16" width="14" customWidth="1"/>
    <col min="17" max="17" width="16" customWidth="1"/>
    <col min="18" max="18" width="10" customWidth="1"/>
    <col min="19" max="19" width="16" customWidth="1"/>
    <col min="20" max="20" width="12" customWidth="1"/>
    <col min="21" max="22" width="14" customWidth="1"/>
    <col min="23" max="23" width="12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</row>
    <row r="2" spans="1:28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2</v>
      </c>
      <c r="G2">
        <v>100</v>
      </c>
      <c r="H2">
        <v>5</v>
      </c>
      <c r="L2">
        <f>G2*(1+H2/100)</f>
        <v>105</v>
      </c>
      <c r="M2">
        <f>F2*L2</f>
        <v>210</v>
      </c>
    </row>
    <row r="3" spans="1:28" x14ac:dyDescent="0.2">
      <c r="C3" t="s">
        <v>25</v>
      </c>
      <c r="D3" t="s">
        <v>28</v>
      </c>
      <c r="E3" t="s">
        <v>27</v>
      </c>
      <c r="F3">
        <v>0</v>
      </c>
      <c r="G3">
        <v>0</v>
      </c>
      <c r="H3">
        <v>5</v>
      </c>
      <c r="L3">
        <f>G3*(1+H3/100)</f>
        <v>0</v>
      </c>
      <c r="M3">
        <f>F3*L3</f>
        <v>0</v>
      </c>
    </row>
    <row r="4" spans="1:28" x14ac:dyDescent="0.2">
      <c r="C4" t="s">
        <v>25</v>
      </c>
      <c r="D4" t="s">
        <v>29</v>
      </c>
      <c r="E4" t="s">
        <v>27</v>
      </c>
      <c r="F4">
        <v>0</v>
      </c>
      <c r="G4">
        <v>0</v>
      </c>
      <c r="H4">
        <v>5</v>
      </c>
      <c r="L4">
        <f>G4*(1+H4/100)</f>
        <v>0</v>
      </c>
      <c r="M4">
        <f>F4*L4</f>
        <v>0</v>
      </c>
    </row>
    <row r="5" spans="1:28" x14ac:dyDescent="0.2">
      <c r="C5" t="s">
        <v>30</v>
      </c>
      <c r="D5" t="s">
        <v>31</v>
      </c>
      <c r="E5" t="s">
        <v>32</v>
      </c>
      <c r="F5">
        <v>0</v>
      </c>
      <c r="H5">
        <v>5</v>
      </c>
      <c r="I5">
        <v>2</v>
      </c>
      <c r="J5">
        <v>50</v>
      </c>
      <c r="K5">
        <v>8</v>
      </c>
      <c r="L5">
        <f>J5*(1+H5/100)</f>
        <v>52.5</v>
      </c>
      <c r="M5">
        <f>K5*L5</f>
        <v>420</v>
      </c>
    </row>
    <row r="6" spans="1:28" x14ac:dyDescent="0.2">
      <c r="C6" t="s">
        <v>30</v>
      </c>
      <c r="D6" t="s">
        <v>33</v>
      </c>
      <c r="E6" t="s">
        <v>32</v>
      </c>
      <c r="F6">
        <v>0</v>
      </c>
      <c r="H6">
        <v>5</v>
      </c>
      <c r="I6">
        <v>1</v>
      </c>
      <c r="J6">
        <v>0</v>
      </c>
      <c r="K6">
        <f>F6*I6</f>
        <v>0</v>
      </c>
      <c r="L6">
        <f>J6*(1+H6/100)</f>
        <v>0</v>
      </c>
      <c r="M6">
        <f>K6*L6</f>
        <v>0</v>
      </c>
    </row>
    <row r="7" spans="1:28" x14ac:dyDescent="0.2">
      <c r="C7" t="s">
        <v>30</v>
      </c>
      <c r="D7" t="s">
        <v>34</v>
      </c>
      <c r="E7" t="s">
        <v>32</v>
      </c>
      <c r="F7">
        <v>0</v>
      </c>
      <c r="H7">
        <v>5</v>
      </c>
      <c r="I7">
        <v>1</v>
      </c>
      <c r="J7">
        <v>0</v>
      </c>
      <c r="K7">
        <f>F7*I7</f>
        <v>0</v>
      </c>
      <c r="L7">
        <f>J7*(1+H7/100)</f>
        <v>0</v>
      </c>
      <c r="M7">
        <f>K7*L7</f>
        <v>0</v>
      </c>
    </row>
    <row r="8" spans="1:28" x14ac:dyDescent="0.2">
      <c r="C8" t="s">
        <v>35</v>
      </c>
      <c r="N8">
        <f>SUM(M2,M3,M4)</f>
        <v>210</v>
      </c>
      <c r="O8">
        <f>I5*K5</f>
        <v>16</v>
      </c>
      <c r="P8">
        <f>SUM(M5,M6,M7)</f>
        <v>420</v>
      </c>
      <c r="Q8">
        <f>SUM(M2,M3,M4,M5,M6,M7)</f>
        <v>630</v>
      </c>
      <c r="R8">
        <v>1</v>
      </c>
      <c r="S8">
        <f>IFERROR(Q8/R8,0)</f>
        <v>630</v>
      </c>
      <c r="T8">
        <v>10</v>
      </c>
      <c r="U8">
        <f>S8*(1+T8/100)</f>
        <v>693</v>
      </c>
      <c r="V8">
        <f>R8*U8</f>
        <v>693</v>
      </c>
      <c r="W8">
        <f>IFERROR(O8/8,0)</f>
        <v>2</v>
      </c>
      <c r="X8">
        <v>0</v>
      </c>
      <c r="Y8">
        <v>0</v>
      </c>
      <c r="Z8">
        <v>0</v>
      </c>
      <c r="AA8">
        <v>-567</v>
      </c>
      <c r="AB8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Prix_de_revient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Jean-Pierre Senterre</cp:lastModifiedBy>
  <dcterms:created xsi:type="dcterms:W3CDTF">2026-01-21T12:08:36Z</dcterms:created>
  <dcterms:modified xsi:type="dcterms:W3CDTF">2026-01-21T13:19:37Z</dcterms:modified>
</cp:coreProperties>
</file>
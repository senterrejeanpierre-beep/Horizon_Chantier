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SORTIES/"/>
    </mc:Choice>
  </mc:AlternateContent>
  <xr:revisionPtr revIDLastSave="0" documentId="13_ncr:1_{A2B86CA6-6694-6D44-85AB-F5E5F2AB9689}" xr6:coauthVersionLast="47" xr6:coauthVersionMax="47" xr10:uidLastSave="{00000000-0000-0000-0000-000000000000}"/>
  <bookViews>
    <workbookView xWindow="11280" yWindow="500" windowWidth="35300" windowHeight="26600" activeTab="5" xr2:uid="{00000000-000D-0000-FFFF-FFFF00000000}"/>
  </bookViews>
  <sheets>
    <sheet name="PARAMS" sheetId="1" r:id="rId1"/>
    <sheet name="PR_MATIERE" sheetId="2" r:id="rId2"/>
    <sheet name="PR_MO" sheetId="3" r:id="rId3"/>
    <sheet name="EXECUTION" sheetId="4" r:id="rId4"/>
    <sheet name="SYNTHESE" sheetId="5" r:id="rId5"/>
    <sheet name="SOUMISSION" sheetId="6" r:id="rId6"/>
  </sheets>
  <definedNames>
    <definedName name="_xlnm.Print_Titles" localSheetId="5">SOUMISSION!$1:$22</definedName>
    <definedName name="_xlnm.Print_Area" localSheetId="5">SOUMISSION!$A$1:$D$22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D16" i="6" s="1"/>
  <c r="H11" i="4"/>
  <c r="D11" i="4"/>
  <c r="E11" i="4" s="1"/>
  <c r="G11" i="4" s="1"/>
  <c r="H10" i="4"/>
  <c r="D10" i="4"/>
  <c r="E10" i="4" s="1"/>
  <c r="G10" i="4" s="1"/>
  <c r="H9" i="4"/>
  <c r="D9" i="4"/>
  <c r="E9" i="4" s="1"/>
  <c r="G9" i="4" s="1"/>
  <c r="H8" i="4"/>
  <c r="D8" i="4"/>
  <c r="E8" i="4" s="1"/>
  <c r="G8" i="4" s="1"/>
  <c r="H7" i="4"/>
  <c r="D7" i="4"/>
  <c r="E7" i="4" s="1"/>
  <c r="G7" i="4" s="1"/>
  <c r="H6" i="4"/>
  <c r="D6" i="4"/>
  <c r="E6" i="4" s="1"/>
  <c r="G6" i="4" s="1"/>
  <c r="H5" i="4"/>
  <c r="D5" i="4"/>
  <c r="E5" i="4" s="1"/>
  <c r="G5" i="4" s="1"/>
  <c r="H4" i="4"/>
  <c r="D4" i="4"/>
  <c r="E4" i="4" s="1"/>
  <c r="G4" i="4" s="1"/>
  <c r="H3" i="4"/>
  <c r="D3" i="4"/>
  <c r="E3" i="4" s="1"/>
  <c r="G3" i="4" s="1"/>
  <c r="H2" i="4"/>
  <c r="D2" i="4"/>
  <c r="E2" i="4" s="1"/>
  <c r="G2" i="4" s="1"/>
  <c r="L11" i="3"/>
  <c r="K11" i="3"/>
  <c r="I11" i="3"/>
  <c r="H11" i="3"/>
  <c r="J11" i="3" s="1"/>
  <c r="M11" i="3" s="1"/>
  <c r="L10" i="3"/>
  <c r="K10" i="3"/>
  <c r="I10" i="3"/>
  <c r="H10" i="3"/>
  <c r="J10" i="3" s="1"/>
  <c r="M10" i="3" s="1"/>
  <c r="L9" i="3"/>
  <c r="K9" i="3"/>
  <c r="I9" i="3"/>
  <c r="H9" i="3"/>
  <c r="J9" i="3" s="1"/>
  <c r="M9" i="3" s="1"/>
  <c r="L8" i="3"/>
  <c r="K8" i="3"/>
  <c r="I8" i="3"/>
  <c r="H8" i="3"/>
  <c r="J8" i="3" s="1"/>
  <c r="M8" i="3" s="1"/>
  <c r="L7" i="3"/>
  <c r="K7" i="3"/>
  <c r="I7" i="3"/>
  <c r="H7" i="3"/>
  <c r="J7" i="3" s="1"/>
  <c r="M7" i="3" s="1"/>
  <c r="L6" i="3"/>
  <c r="K6" i="3"/>
  <c r="I6" i="3"/>
  <c r="H6" i="3"/>
  <c r="J6" i="3" s="1"/>
  <c r="M6" i="3" s="1"/>
  <c r="L5" i="3"/>
  <c r="K5" i="3"/>
  <c r="I5" i="3"/>
  <c r="H5" i="3"/>
  <c r="J5" i="3" s="1"/>
  <c r="M5" i="3" s="1"/>
  <c r="L4" i="3"/>
  <c r="K4" i="3"/>
  <c r="I4" i="3"/>
  <c r="H4" i="3"/>
  <c r="J4" i="3" s="1"/>
  <c r="M4" i="3" s="1"/>
  <c r="L3" i="3"/>
  <c r="K3" i="3"/>
  <c r="I3" i="3"/>
  <c r="H3" i="3"/>
  <c r="J3" i="3" s="1"/>
  <c r="M3" i="3" s="1"/>
  <c r="L2" i="3"/>
  <c r="K2" i="3"/>
  <c r="I2" i="3"/>
  <c r="H2" i="3"/>
  <c r="J2" i="3" s="1"/>
  <c r="L11" i="2"/>
  <c r="K11" i="2"/>
  <c r="I11" i="2"/>
  <c r="J11" i="2" s="1"/>
  <c r="M11" i="2" s="1"/>
  <c r="L10" i="2"/>
  <c r="K10" i="2"/>
  <c r="J10" i="2"/>
  <c r="M10" i="2" s="1"/>
  <c r="I10" i="2"/>
  <c r="L9" i="2"/>
  <c r="K9" i="2"/>
  <c r="I9" i="2"/>
  <c r="J9" i="2" s="1"/>
  <c r="M9" i="2" s="1"/>
  <c r="L8" i="2"/>
  <c r="K8" i="2"/>
  <c r="J8" i="2"/>
  <c r="M8" i="2" s="1"/>
  <c r="I8" i="2"/>
  <c r="L7" i="2"/>
  <c r="K7" i="2"/>
  <c r="I7" i="2"/>
  <c r="J7" i="2" s="1"/>
  <c r="M7" i="2" s="1"/>
  <c r="L6" i="2"/>
  <c r="K6" i="2"/>
  <c r="I6" i="2"/>
  <c r="J6" i="2" s="1"/>
  <c r="M6" i="2" s="1"/>
  <c r="L5" i="2"/>
  <c r="K5" i="2"/>
  <c r="I5" i="2"/>
  <c r="J5" i="2" s="1"/>
  <c r="M5" i="2" s="1"/>
  <c r="L4" i="2"/>
  <c r="K4" i="2"/>
  <c r="J4" i="2"/>
  <c r="M4" i="2" s="1"/>
  <c r="I4" i="2"/>
  <c r="L3" i="2"/>
  <c r="K3" i="2"/>
  <c r="I3" i="2"/>
  <c r="J3" i="2" s="1"/>
  <c r="M3" i="2" s="1"/>
  <c r="L2" i="2"/>
  <c r="I2" i="2"/>
  <c r="J2" i="2" s="1"/>
  <c r="M2" i="2" s="1"/>
  <c r="I4" i="4" l="1"/>
  <c r="J4" i="4" s="1"/>
  <c r="I7" i="4"/>
  <c r="J7" i="4" s="1"/>
  <c r="I10" i="4"/>
  <c r="J10" i="4" s="1"/>
  <c r="I2" i="4"/>
  <c r="J2" i="4" s="1"/>
  <c r="I8" i="4"/>
  <c r="J8" i="4" s="1"/>
  <c r="I11" i="4"/>
  <c r="J11" i="4" s="1"/>
  <c r="I5" i="4"/>
  <c r="J5" i="4" s="1"/>
  <c r="I3" i="4"/>
  <c r="J3" i="4" s="1"/>
  <c r="I6" i="4"/>
  <c r="J6" i="4" s="1"/>
  <c r="I9" i="4"/>
  <c r="J9" i="4" s="1"/>
  <c r="B8" i="5"/>
  <c r="B3" i="5"/>
  <c r="M2" i="3"/>
  <c r="B9" i="5" s="1"/>
  <c r="B2" i="5"/>
  <c r="B4" i="5" s="1"/>
  <c r="B5" i="5" l="1"/>
  <c r="B6" i="5" s="1"/>
  <c r="D14" i="6" s="1"/>
  <c r="B10" i="5"/>
  <c r="D15" i="6" l="1"/>
  <c r="B12" i="5"/>
  <c r="D17" i="6" s="1"/>
</calcChain>
</file>

<file path=xl/sharedStrings.xml><?xml version="1.0" encoding="utf-8"?>
<sst xmlns="http://schemas.openxmlformats.org/spreadsheetml/2006/main" count="65" uniqueCount="55">
  <si>
    <t>Paramètre</t>
  </si>
  <si>
    <t>Valeur</t>
  </si>
  <si>
    <t>Taux horaire (€/h)</t>
  </si>
  <si>
    <t>Frais généraux %</t>
  </si>
  <si>
    <t>Marge aménagement %</t>
  </si>
  <si>
    <t>Marge vente %</t>
  </si>
  <si>
    <t>TVA %</t>
  </si>
  <si>
    <t>N° poste</t>
  </si>
  <si>
    <t>Poste</t>
  </si>
  <si>
    <t>Texte</t>
  </si>
  <si>
    <t>Désignation (matière)</t>
  </si>
  <si>
    <t>Unité</t>
  </si>
  <si>
    <t>Qté poste</t>
  </si>
  <si>
    <t>Perte %</t>
  </si>
  <si>
    <t>PU net</t>
  </si>
  <si>
    <t>Total matière (poste)</t>
  </si>
  <si>
    <t>PU revient (poste)</t>
  </si>
  <si>
    <t>Total ligne (vente)</t>
  </si>
  <si>
    <t>Désignation (MO)</t>
  </si>
  <si>
    <t>Nb hommes</t>
  </si>
  <si>
    <t>Heures / homme / jour</t>
  </si>
  <si>
    <t>Délai (jours)</t>
  </si>
  <si>
    <t>Total heures (poste)</t>
  </si>
  <si>
    <t>Taux horaire</t>
  </si>
  <si>
    <t>Coût MO (poste)</t>
  </si>
  <si>
    <t>Heures réelles (poste)</t>
  </si>
  <si>
    <t>Taux horaire réel</t>
  </si>
  <si>
    <t>Coût MO réel (poste)</t>
  </si>
  <si>
    <t>Coût matière réel (poste)</t>
  </si>
  <si>
    <t>Coût réel total (poste)</t>
  </si>
  <si>
    <t>Coût prévu total (poste)</t>
  </si>
  <si>
    <t>Écart € (réel - prévu)</t>
  </si>
  <si>
    <t>Écart % (réel - prévu)</t>
  </si>
  <si>
    <t>Élément</t>
  </si>
  <si>
    <t>Total matière (prévu)</t>
  </si>
  <si>
    <t>Total MO (prévu)</t>
  </si>
  <si>
    <t>Coût direct prévu</t>
  </si>
  <si>
    <t>Frais généraux (prévu)</t>
  </si>
  <si>
    <t>PRIX DE REVIENT TOTAL (prévu)</t>
  </si>
  <si>
    <t>Total vente (matière)</t>
  </si>
  <si>
    <t>Total vente (MO)</t>
  </si>
  <si>
    <t>PRIX DE VENTE TOTAL HT</t>
  </si>
  <si>
    <t>PRIX DE VENTE TOTAL TTC</t>
  </si>
  <si>
    <t>ENTREPRISE XYZ
Adresse
Téléphone
Email</t>
  </si>
  <si>
    <t>DEVIS</t>
  </si>
  <si>
    <t>CLIENT :
À compléter</t>
  </si>
  <si>
    <t>CHANTIER :
À compléter</t>
  </si>
  <si>
    <t>Prix de revient total</t>
  </si>
  <si>
    <t>Prix de vente HT</t>
  </si>
  <si>
    <t>TVA</t>
  </si>
  <si>
    <t>Prix de vente TTC</t>
  </si>
  <si>
    <t>Signature client :
Signature entreprise :</t>
  </si>
  <si>
    <t>briques</t>
  </si>
  <si>
    <t>Quantité métré détaillé</t>
  </si>
  <si>
    <t>N° poste ou Art 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</si>
</sst>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20"/>
      <name val="Calibri"/>
    </font>
    <font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8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 wrapText="1"/>
    </xf>
    <xf numFmtId="0" fontId="0" fillId="3" borderId="1" xfId="0" applyFill="1" applyBorder="1" applyAlignment="1" applyProtection="1">
      <alignment horizontal="left" vertical="center" wrapText="1"/>
      <protection locked="0"/>
    </xf>
    <xf numFmtId="4" fontId="0" fillId="3" borderId="1" xfId="0" applyNumberFormat="1" applyFill="1" applyBorder="1" applyAlignment="1" applyProtection="1">
      <alignment horizontal="left" vertical="center" wrapText="1"/>
      <protection locked="0"/>
    </xf>
    <xf numFmtId="10" fontId="0" fillId="3" borderId="1" xfId="0" applyNumberFormat="1" applyFill="1" applyBorder="1" applyAlignment="1" applyProtection="1">
      <alignment horizontal="left" vertical="center" wrapText="1"/>
      <protection locked="0"/>
    </xf>
    <xf numFmtId="164" fontId="0" fillId="3" borderId="1" xfId="0" applyNumberFormat="1" applyFill="1" applyBorder="1" applyAlignment="1" applyProtection="1">
      <alignment horizontal="left" vertical="center" wrapText="1"/>
      <protection locked="0"/>
    </xf>
    <xf numFmtId="164" fontId="0" fillId="4" borderId="1" xfId="0" applyNumberFormat="1" applyFill="1" applyBorder="1" applyAlignment="1">
      <alignment horizontal="left" vertical="center" wrapText="1"/>
    </xf>
    <xf numFmtId="4" fontId="0" fillId="4" borderId="1" xfId="0" applyNumberFormat="1" applyFill="1" applyBorder="1" applyAlignment="1">
      <alignment horizontal="left" vertical="center" wrapText="1"/>
    </xf>
    <xf numFmtId="10" fontId="0" fillId="4" borderId="1" xfId="0" applyNumberForma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2" borderId="0" xfId="0" applyFill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6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3">
        <v>55</v>
      </c>
    </row>
    <row r="3" spans="1:2" ht="16" x14ac:dyDescent="0.2">
      <c r="A3" s="2" t="s">
        <v>3</v>
      </c>
      <c r="B3" s="4">
        <v>0.1</v>
      </c>
    </row>
    <row r="4" spans="1:2" ht="16" x14ac:dyDescent="0.2">
      <c r="A4" s="2" t="s">
        <v>4</v>
      </c>
      <c r="B4" s="4">
        <v>0.1</v>
      </c>
    </row>
    <row r="5" spans="1:2" ht="16" x14ac:dyDescent="0.2">
      <c r="A5" s="2" t="s">
        <v>5</v>
      </c>
      <c r="B5" s="4">
        <v>0.15</v>
      </c>
    </row>
    <row r="6" spans="1:2" ht="16" x14ac:dyDescent="0.2">
      <c r="A6" s="2" t="s">
        <v>6</v>
      </c>
      <c r="B6" s="4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pane ySplit="1" topLeftCell="A2" activePane="bottomLeft" state="frozen"/>
      <selection pane="bottomLeft" activeCell="K3" sqref="K3"/>
    </sheetView>
  </sheetViews>
  <sheetFormatPr baseColWidth="10" defaultColWidth="8.83203125" defaultRowHeight="15" x14ac:dyDescent="0.2"/>
  <cols>
    <col min="1" max="1" width="17" customWidth="1"/>
    <col min="2" max="2" width="90.6640625" customWidth="1"/>
    <col min="3" max="3" width="13.5" customWidth="1"/>
    <col min="4" max="4" width="32" customWidth="1"/>
    <col min="5" max="5" width="8" customWidth="1"/>
    <col min="6" max="6" width="12" customWidth="1"/>
    <col min="7" max="7" width="10" customWidth="1"/>
    <col min="8" max="8" width="12" customWidth="1"/>
    <col min="9" max="9" width="16" customWidth="1"/>
    <col min="10" max="10" width="14" customWidth="1"/>
    <col min="11" max="11" width="18" customWidth="1"/>
    <col min="12" max="12" width="14" customWidth="1"/>
    <col min="13" max="13" width="16" customWidth="1"/>
  </cols>
  <sheetData>
    <row r="1" spans="1:13" ht="32" x14ac:dyDescent="0.2">
      <c r="A1" s="25" t="s">
        <v>54</v>
      </c>
      <c r="B1" s="25" t="s">
        <v>9</v>
      </c>
      <c r="C1" s="1" t="s">
        <v>53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4</v>
      </c>
      <c r="L1" s="1" t="s">
        <v>5</v>
      </c>
      <c r="M1" s="1" t="s">
        <v>17</v>
      </c>
    </row>
    <row r="2" spans="1:13" ht="16" x14ac:dyDescent="0.2">
      <c r="A2" s="5"/>
      <c r="B2" s="5"/>
      <c r="C2" s="5"/>
      <c r="D2" s="5" t="s">
        <v>52</v>
      </c>
      <c r="E2" s="5">
        <v>1</v>
      </c>
      <c r="F2" s="6">
        <v>1</v>
      </c>
      <c r="G2" s="7">
        <v>0.03</v>
      </c>
      <c r="H2" s="8">
        <v>2</v>
      </c>
      <c r="I2" s="9">
        <f t="shared" ref="I2:I11" si="0">IFERROR(F2*H2*(1+G2),"")</f>
        <v>2.06</v>
      </c>
      <c r="J2" s="9">
        <f t="shared" ref="J2:J11" si="1">IFERROR(I2/F2,"")</f>
        <v>2.06</v>
      </c>
      <c r="K2" s="7">
        <v>0.03</v>
      </c>
      <c r="L2" s="7">
        <f>PARAMS!$B$5</f>
        <v>0.15</v>
      </c>
      <c r="M2" s="9">
        <f t="shared" ref="M2:M11" si="2">IFERROR(J2*F2*(1+K2)*(1+L2),"")</f>
        <v>2.4400699999999995</v>
      </c>
    </row>
    <row r="3" spans="1:13" ht="16" x14ac:dyDescent="0.2">
      <c r="A3" s="5"/>
      <c r="B3" s="5"/>
      <c r="C3" s="5"/>
      <c r="D3" s="5"/>
      <c r="E3" s="5"/>
      <c r="F3" s="6"/>
      <c r="G3" s="7"/>
      <c r="H3" s="8"/>
      <c r="I3" s="9">
        <f t="shared" si="0"/>
        <v>0</v>
      </c>
      <c r="J3" s="9" t="str">
        <f t="shared" si="1"/>
        <v/>
      </c>
      <c r="K3" s="7">
        <f>PARAMS!$B$4</f>
        <v>0.1</v>
      </c>
      <c r="L3" s="7">
        <f>PARAMS!$B$5</f>
        <v>0.15</v>
      </c>
      <c r="M3" s="9" t="str">
        <f t="shared" si="2"/>
        <v/>
      </c>
    </row>
    <row r="4" spans="1:13" ht="16" x14ac:dyDescent="0.2">
      <c r="A4" s="5"/>
      <c r="B4" s="5"/>
      <c r="C4" s="5"/>
      <c r="D4" s="5"/>
      <c r="E4" s="5"/>
      <c r="F4" s="6"/>
      <c r="G4" s="7"/>
      <c r="H4" s="8"/>
      <c r="I4" s="9">
        <f t="shared" si="0"/>
        <v>0</v>
      </c>
      <c r="J4" s="9" t="str">
        <f t="shared" si="1"/>
        <v/>
      </c>
      <c r="K4" s="7">
        <f>PARAMS!$B$4</f>
        <v>0.1</v>
      </c>
      <c r="L4" s="7">
        <f>PARAMS!$B$5</f>
        <v>0.15</v>
      </c>
      <c r="M4" s="9" t="str">
        <f t="shared" si="2"/>
        <v/>
      </c>
    </row>
    <row r="5" spans="1:13" ht="16" x14ac:dyDescent="0.2">
      <c r="A5" s="5"/>
      <c r="B5" s="5"/>
      <c r="C5" s="5"/>
      <c r="D5" s="5"/>
      <c r="E5" s="5"/>
      <c r="F5" s="6"/>
      <c r="G5" s="7"/>
      <c r="H5" s="8"/>
      <c r="I5" s="9">
        <f t="shared" si="0"/>
        <v>0</v>
      </c>
      <c r="J5" s="9" t="str">
        <f t="shared" si="1"/>
        <v/>
      </c>
      <c r="K5" s="7">
        <f>PARAMS!$B$4</f>
        <v>0.1</v>
      </c>
      <c r="L5" s="7">
        <f>PARAMS!$B$5</f>
        <v>0.15</v>
      </c>
      <c r="M5" s="9" t="str">
        <f t="shared" si="2"/>
        <v/>
      </c>
    </row>
    <row r="6" spans="1:13" ht="16" x14ac:dyDescent="0.2">
      <c r="A6" s="5"/>
      <c r="B6" s="5"/>
      <c r="C6" s="5"/>
      <c r="D6" s="5"/>
      <c r="E6" s="5"/>
      <c r="F6" s="6"/>
      <c r="G6" s="7"/>
      <c r="H6" s="8"/>
      <c r="I6" s="9">
        <f t="shared" si="0"/>
        <v>0</v>
      </c>
      <c r="J6" s="9" t="str">
        <f t="shared" si="1"/>
        <v/>
      </c>
      <c r="K6" s="7">
        <f>PARAMS!$B$4</f>
        <v>0.1</v>
      </c>
      <c r="L6" s="7">
        <f>PARAMS!$B$5</f>
        <v>0.15</v>
      </c>
      <c r="M6" s="9" t="str">
        <f t="shared" si="2"/>
        <v/>
      </c>
    </row>
    <row r="7" spans="1:13" ht="16" x14ac:dyDescent="0.2">
      <c r="A7" s="5"/>
      <c r="B7" s="5"/>
      <c r="C7" s="5"/>
      <c r="D7" s="5"/>
      <c r="E7" s="5"/>
      <c r="F7" s="6"/>
      <c r="G7" s="7"/>
      <c r="H7" s="8"/>
      <c r="I7" s="9">
        <f t="shared" si="0"/>
        <v>0</v>
      </c>
      <c r="J7" s="9" t="str">
        <f t="shared" si="1"/>
        <v/>
      </c>
      <c r="K7" s="7">
        <f>PARAMS!$B$4</f>
        <v>0.1</v>
      </c>
      <c r="L7" s="7">
        <f>PARAMS!$B$5</f>
        <v>0.15</v>
      </c>
      <c r="M7" s="9" t="str">
        <f t="shared" si="2"/>
        <v/>
      </c>
    </row>
    <row r="8" spans="1:13" ht="16" x14ac:dyDescent="0.2">
      <c r="A8" s="5"/>
      <c r="B8" s="5"/>
      <c r="C8" s="5"/>
      <c r="D8" s="5"/>
      <c r="E8" s="5"/>
      <c r="F8" s="6"/>
      <c r="G8" s="7"/>
      <c r="H8" s="8"/>
      <c r="I8" s="9">
        <f t="shared" si="0"/>
        <v>0</v>
      </c>
      <c r="J8" s="9" t="str">
        <f t="shared" si="1"/>
        <v/>
      </c>
      <c r="K8" s="7">
        <f>PARAMS!$B$4</f>
        <v>0.1</v>
      </c>
      <c r="L8" s="7">
        <f>PARAMS!$B$5</f>
        <v>0.15</v>
      </c>
      <c r="M8" s="9" t="str">
        <f t="shared" si="2"/>
        <v/>
      </c>
    </row>
    <row r="9" spans="1:13" ht="16" x14ac:dyDescent="0.2">
      <c r="A9" s="5"/>
      <c r="B9" s="5"/>
      <c r="C9" s="5"/>
      <c r="D9" s="5"/>
      <c r="E9" s="5"/>
      <c r="F9" s="6"/>
      <c r="G9" s="7"/>
      <c r="H9" s="8"/>
      <c r="I9" s="9">
        <f t="shared" si="0"/>
        <v>0</v>
      </c>
      <c r="J9" s="9" t="str">
        <f t="shared" si="1"/>
        <v/>
      </c>
      <c r="K9" s="7">
        <f>PARAMS!$B$4</f>
        <v>0.1</v>
      </c>
      <c r="L9" s="7">
        <f>PARAMS!$B$5</f>
        <v>0.15</v>
      </c>
      <c r="M9" s="9" t="str">
        <f t="shared" si="2"/>
        <v/>
      </c>
    </row>
    <row r="10" spans="1:13" ht="16" x14ac:dyDescent="0.2">
      <c r="A10" s="5"/>
      <c r="B10" s="5"/>
      <c r="C10" s="5"/>
      <c r="D10" s="5"/>
      <c r="E10" s="5"/>
      <c r="F10" s="6"/>
      <c r="G10" s="7"/>
      <c r="H10" s="8"/>
      <c r="I10" s="9">
        <f t="shared" si="0"/>
        <v>0</v>
      </c>
      <c r="J10" s="9" t="str">
        <f t="shared" si="1"/>
        <v/>
      </c>
      <c r="K10" s="7">
        <f>PARAMS!$B$4</f>
        <v>0.1</v>
      </c>
      <c r="L10" s="7">
        <f>PARAMS!$B$5</f>
        <v>0.15</v>
      </c>
      <c r="M10" s="9" t="str">
        <f t="shared" si="2"/>
        <v/>
      </c>
    </row>
    <row r="11" spans="1:13" ht="16" x14ac:dyDescent="0.2">
      <c r="A11" s="5"/>
      <c r="B11" s="5"/>
      <c r="C11" s="5"/>
      <c r="D11" s="5"/>
      <c r="E11" s="5"/>
      <c r="F11" s="6"/>
      <c r="G11" s="7"/>
      <c r="H11" s="8"/>
      <c r="I11" s="9">
        <f t="shared" si="0"/>
        <v>0</v>
      </c>
      <c r="J11" s="9" t="str">
        <f t="shared" si="1"/>
        <v/>
      </c>
      <c r="K11" s="7">
        <f>PARAMS!$B$4</f>
        <v>0.1</v>
      </c>
      <c r="L11" s="7">
        <f>PARAMS!$B$5</f>
        <v>0.15</v>
      </c>
      <c r="M11" s="9" t="str">
        <f t="shared" si="2"/>
        <v/>
      </c>
    </row>
  </sheetData>
  <dataValidations count="2">
    <dataValidation type="decimal" allowBlank="1" sqref="G2 G3 G4 G5 G6 G7 G8 G9 G10 G11 K2 K3 K4 K5 K6 K7 K8 K9 K10 K11 L2 L3 L4 L5 L6 L7 L8 L9 L10 L11" xr:uid="{00000000-0002-0000-0100-000000000000}">
      <formula1>0</formula1>
      <formula2>1</formula2>
    </dataValidation>
    <dataValidation type="decimal" operator="greaterThanOrEqual" allowBlank="1" sqref="F2 F3 F4 F5 F6 F7 F8 F9 F10 F11 H2 H3 H4 H5 H6 H7 H8 H9 H10 H11" xr:uid="{00000000-0002-0000-0100-000001000000}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14" customWidth="1"/>
    <col min="4" max="4" width="34" customWidth="1"/>
    <col min="5" max="5" width="10" customWidth="1"/>
    <col min="6" max="6" width="18" customWidth="1"/>
    <col min="7" max="7" width="12" customWidth="1"/>
    <col min="8" max="8" width="16" customWidth="1"/>
    <col min="9" max="9" width="12" customWidth="1"/>
    <col min="10" max="10" width="16" customWidth="1"/>
    <col min="11" max="11" width="18" customWidth="1"/>
    <col min="12" max="12" width="14" customWidth="1"/>
    <col min="13" max="13" width="16" customWidth="1"/>
  </cols>
  <sheetData>
    <row r="1" spans="1:13" ht="32" x14ac:dyDescent="0.2">
      <c r="A1" s="1" t="s">
        <v>7</v>
      </c>
      <c r="B1" s="1" t="s">
        <v>8</v>
      </c>
      <c r="C1" s="1" t="s">
        <v>9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4</v>
      </c>
      <c r="L1" s="1" t="s">
        <v>5</v>
      </c>
      <c r="M1" s="1" t="s">
        <v>17</v>
      </c>
    </row>
    <row r="2" spans="1:13" ht="16" x14ac:dyDescent="0.2">
      <c r="A2" s="5"/>
      <c r="B2" s="5"/>
      <c r="C2" s="5"/>
      <c r="D2" s="5"/>
      <c r="E2" s="6"/>
      <c r="F2" s="6"/>
      <c r="G2" s="6"/>
      <c r="H2" s="10">
        <f t="shared" ref="H2:H11" si="0">IFERROR(E2*F2*G2,"")</f>
        <v>0</v>
      </c>
      <c r="I2" s="8">
        <f>PARAMS!$B$2</f>
        <v>55</v>
      </c>
      <c r="J2" s="9">
        <f t="shared" ref="J2:J11" si="1">IFERROR(H2*I2,"")</f>
        <v>0</v>
      </c>
      <c r="K2" s="7">
        <f>PARAMS!$B$4</f>
        <v>0.1</v>
      </c>
      <c r="L2" s="7">
        <f>PARAMS!$B$5</f>
        <v>0.15</v>
      </c>
      <c r="M2" s="9">
        <f t="shared" ref="M2:M11" si="2">IFERROR(J2*(1+K2)*(1+L2),"")</f>
        <v>0</v>
      </c>
    </row>
    <row r="3" spans="1:13" ht="16" x14ac:dyDescent="0.2">
      <c r="A3" s="5"/>
      <c r="B3" s="5"/>
      <c r="C3" s="5"/>
      <c r="D3" s="5"/>
      <c r="E3" s="6"/>
      <c r="F3" s="6"/>
      <c r="G3" s="6"/>
      <c r="H3" s="10">
        <f t="shared" si="0"/>
        <v>0</v>
      </c>
      <c r="I3" s="8">
        <f>PARAMS!$B$2</f>
        <v>55</v>
      </c>
      <c r="J3" s="9">
        <f t="shared" si="1"/>
        <v>0</v>
      </c>
      <c r="K3" s="7">
        <f>PARAMS!$B$4</f>
        <v>0.1</v>
      </c>
      <c r="L3" s="7">
        <f>PARAMS!$B$5</f>
        <v>0.15</v>
      </c>
      <c r="M3" s="9">
        <f t="shared" si="2"/>
        <v>0</v>
      </c>
    </row>
    <row r="4" spans="1:13" ht="16" x14ac:dyDescent="0.2">
      <c r="A4" s="5"/>
      <c r="B4" s="5"/>
      <c r="C4" s="5"/>
      <c r="D4" s="5"/>
      <c r="E4" s="6"/>
      <c r="F4" s="6"/>
      <c r="G4" s="6"/>
      <c r="H4" s="10">
        <f t="shared" si="0"/>
        <v>0</v>
      </c>
      <c r="I4" s="8">
        <f>PARAMS!$B$2</f>
        <v>55</v>
      </c>
      <c r="J4" s="9">
        <f t="shared" si="1"/>
        <v>0</v>
      </c>
      <c r="K4" s="7">
        <f>PARAMS!$B$4</f>
        <v>0.1</v>
      </c>
      <c r="L4" s="7">
        <f>PARAMS!$B$5</f>
        <v>0.15</v>
      </c>
      <c r="M4" s="9">
        <f t="shared" si="2"/>
        <v>0</v>
      </c>
    </row>
    <row r="5" spans="1:13" ht="16" x14ac:dyDescent="0.2">
      <c r="A5" s="5"/>
      <c r="B5" s="5"/>
      <c r="C5" s="5"/>
      <c r="D5" s="5"/>
      <c r="E5" s="6"/>
      <c r="F5" s="6"/>
      <c r="G5" s="6"/>
      <c r="H5" s="10">
        <f t="shared" si="0"/>
        <v>0</v>
      </c>
      <c r="I5" s="8">
        <f>PARAMS!$B$2</f>
        <v>55</v>
      </c>
      <c r="J5" s="9">
        <f t="shared" si="1"/>
        <v>0</v>
      </c>
      <c r="K5" s="7">
        <f>PARAMS!$B$4</f>
        <v>0.1</v>
      </c>
      <c r="L5" s="7">
        <f>PARAMS!$B$5</f>
        <v>0.15</v>
      </c>
      <c r="M5" s="9">
        <f t="shared" si="2"/>
        <v>0</v>
      </c>
    </row>
    <row r="6" spans="1:13" ht="16" x14ac:dyDescent="0.2">
      <c r="A6" s="5"/>
      <c r="B6" s="5"/>
      <c r="C6" s="5"/>
      <c r="D6" s="5"/>
      <c r="E6" s="6"/>
      <c r="F6" s="6"/>
      <c r="G6" s="6"/>
      <c r="H6" s="10">
        <f t="shared" si="0"/>
        <v>0</v>
      </c>
      <c r="I6" s="8">
        <f>PARAMS!$B$2</f>
        <v>55</v>
      </c>
      <c r="J6" s="9">
        <f t="shared" si="1"/>
        <v>0</v>
      </c>
      <c r="K6" s="7">
        <f>PARAMS!$B$4</f>
        <v>0.1</v>
      </c>
      <c r="L6" s="7">
        <f>PARAMS!$B$5</f>
        <v>0.15</v>
      </c>
      <c r="M6" s="9">
        <f t="shared" si="2"/>
        <v>0</v>
      </c>
    </row>
    <row r="7" spans="1:13" ht="16" x14ac:dyDescent="0.2">
      <c r="A7" s="5"/>
      <c r="B7" s="5"/>
      <c r="C7" s="5"/>
      <c r="D7" s="5"/>
      <c r="E7" s="6"/>
      <c r="F7" s="6"/>
      <c r="G7" s="6"/>
      <c r="H7" s="10">
        <f t="shared" si="0"/>
        <v>0</v>
      </c>
      <c r="I7" s="8">
        <f>PARAMS!$B$2</f>
        <v>55</v>
      </c>
      <c r="J7" s="9">
        <f t="shared" si="1"/>
        <v>0</v>
      </c>
      <c r="K7" s="7">
        <f>PARAMS!$B$4</f>
        <v>0.1</v>
      </c>
      <c r="L7" s="7">
        <f>PARAMS!$B$5</f>
        <v>0.15</v>
      </c>
      <c r="M7" s="9">
        <f t="shared" si="2"/>
        <v>0</v>
      </c>
    </row>
    <row r="8" spans="1:13" ht="16" x14ac:dyDescent="0.2">
      <c r="A8" s="5"/>
      <c r="B8" s="5"/>
      <c r="C8" s="5"/>
      <c r="D8" s="5"/>
      <c r="E8" s="6"/>
      <c r="F8" s="6"/>
      <c r="G8" s="6"/>
      <c r="H8" s="10">
        <f t="shared" si="0"/>
        <v>0</v>
      </c>
      <c r="I8" s="8">
        <f>PARAMS!$B$2</f>
        <v>55</v>
      </c>
      <c r="J8" s="9">
        <f t="shared" si="1"/>
        <v>0</v>
      </c>
      <c r="K8" s="7">
        <f>PARAMS!$B$4</f>
        <v>0.1</v>
      </c>
      <c r="L8" s="7">
        <f>PARAMS!$B$5</f>
        <v>0.15</v>
      </c>
      <c r="M8" s="9">
        <f t="shared" si="2"/>
        <v>0</v>
      </c>
    </row>
    <row r="9" spans="1:13" ht="16" x14ac:dyDescent="0.2">
      <c r="A9" s="5"/>
      <c r="B9" s="5"/>
      <c r="C9" s="5"/>
      <c r="D9" s="5"/>
      <c r="E9" s="6"/>
      <c r="F9" s="6"/>
      <c r="G9" s="6"/>
      <c r="H9" s="10">
        <f t="shared" si="0"/>
        <v>0</v>
      </c>
      <c r="I9" s="8">
        <f>PARAMS!$B$2</f>
        <v>55</v>
      </c>
      <c r="J9" s="9">
        <f t="shared" si="1"/>
        <v>0</v>
      </c>
      <c r="K9" s="7">
        <f>PARAMS!$B$4</f>
        <v>0.1</v>
      </c>
      <c r="L9" s="7">
        <f>PARAMS!$B$5</f>
        <v>0.15</v>
      </c>
      <c r="M9" s="9">
        <f t="shared" si="2"/>
        <v>0</v>
      </c>
    </row>
    <row r="10" spans="1:13" ht="16" x14ac:dyDescent="0.2">
      <c r="A10" s="5"/>
      <c r="B10" s="5"/>
      <c r="C10" s="5"/>
      <c r="D10" s="5"/>
      <c r="E10" s="6"/>
      <c r="F10" s="6"/>
      <c r="G10" s="6"/>
      <c r="H10" s="10">
        <f t="shared" si="0"/>
        <v>0</v>
      </c>
      <c r="I10" s="8">
        <f>PARAMS!$B$2</f>
        <v>55</v>
      </c>
      <c r="J10" s="9">
        <f t="shared" si="1"/>
        <v>0</v>
      </c>
      <c r="K10" s="7">
        <f>PARAMS!$B$4</f>
        <v>0.1</v>
      </c>
      <c r="L10" s="7">
        <f>PARAMS!$B$5</f>
        <v>0.15</v>
      </c>
      <c r="M10" s="9">
        <f t="shared" si="2"/>
        <v>0</v>
      </c>
    </row>
    <row r="11" spans="1:13" ht="16" x14ac:dyDescent="0.2">
      <c r="A11" s="5"/>
      <c r="B11" s="5"/>
      <c r="C11" s="5"/>
      <c r="D11" s="5"/>
      <c r="E11" s="6"/>
      <c r="F11" s="6"/>
      <c r="G11" s="6"/>
      <c r="H11" s="10">
        <f t="shared" si="0"/>
        <v>0</v>
      </c>
      <c r="I11" s="8">
        <f>PARAMS!$B$2</f>
        <v>55</v>
      </c>
      <c r="J11" s="9">
        <f t="shared" si="1"/>
        <v>0</v>
      </c>
      <c r="K11" s="7">
        <f>PARAMS!$B$4</f>
        <v>0.1</v>
      </c>
      <c r="L11" s="7">
        <f>PARAMS!$B$5</f>
        <v>0.15</v>
      </c>
      <c r="M11" s="9">
        <f t="shared" si="2"/>
        <v>0</v>
      </c>
    </row>
  </sheetData>
  <sheetProtection sheet="1"/>
  <dataValidations count="2">
    <dataValidation type="decimal" allowBlank="1" sqref="K2 K3 K4 K5 K6 K7 K8 K9 K10 K11 L2 L3 L4 L5 L6 L7 L8 L9 L10 L11" xr:uid="{00000000-0002-0000-0200-000000000000}">
      <formula1>0</formula1>
      <formula2>1</formula2>
    </dataValidation>
    <dataValidation type="decimal" operator="greaterThanOrEqual" allowBlank="1" sqref="E2 E3 E4 E5 E6 E7 E8 E9 E10 E11 F2 F3 F4 F5 F6 F7 F8 F9 F10 F11 G2 G3 G4 G5 G6 G7 G8 G9 G10 G11" xr:uid="{00000000-0002-0000-0200-000001000000}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3" width="18" customWidth="1"/>
    <col min="4" max="4" width="16" customWidth="1"/>
    <col min="5" max="8" width="18" customWidth="1"/>
    <col min="9" max="10" width="16" customWidth="1"/>
  </cols>
  <sheetData>
    <row r="1" spans="1:10" ht="32" x14ac:dyDescent="0.2">
      <c r="A1" s="1" t="s">
        <v>7</v>
      </c>
      <c r="B1" s="1" t="s">
        <v>8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ht="16" x14ac:dyDescent="0.2">
      <c r="A2" s="5"/>
      <c r="B2" s="5"/>
      <c r="C2" s="6"/>
      <c r="D2" s="8">
        <f>PARAMS!$B$2</f>
        <v>55</v>
      </c>
      <c r="E2" s="9">
        <f t="shared" ref="E2:E11" si="0">IFERROR(C2*D2,"")</f>
        <v>0</v>
      </c>
      <c r="F2" s="8"/>
      <c r="G2" s="9">
        <f t="shared" ref="G2:G11" si="1">IFERROR(E2+F2,"")</f>
        <v>0</v>
      </c>
      <c r="H2" s="9">
        <f>IFERROR(SUMIF(PR_MATIERE!$A:$A,$A2,PR_MATIERE!$I:$I)+SUMIF(PR_MO!$A:$A,$A2,PR_MO!$J:$J),0)</f>
        <v>0</v>
      </c>
      <c r="I2" s="9">
        <f t="shared" ref="I2:I11" si="2">IFERROR(G2-H2,"")</f>
        <v>0</v>
      </c>
      <c r="J2" s="11" t="str">
        <f t="shared" ref="J2:J11" si="3">IFERROR(I2/H2,"")</f>
        <v/>
      </c>
    </row>
    <row r="3" spans="1:10" ht="16" x14ac:dyDescent="0.2">
      <c r="A3" s="5"/>
      <c r="B3" s="5"/>
      <c r="C3" s="6"/>
      <c r="D3" s="8">
        <f>PARAMS!$B$2</f>
        <v>55</v>
      </c>
      <c r="E3" s="9">
        <f t="shared" si="0"/>
        <v>0</v>
      </c>
      <c r="F3" s="8"/>
      <c r="G3" s="9">
        <f t="shared" si="1"/>
        <v>0</v>
      </c>
      <c r="H3" s="9">
        <f>IFERROR(SUMIF(PR_MATIERE!$A:$A,$A3,PR_MATIERE!$I:$I)+SUMIF(PR_MO!$A:$A,$A3,PR_MO!$J:$J),0)</f>
        <v>0</v>
      </c>
      <c r="I3" s="9">
        <f t="shared" si="2"/>
        <v>0</v>
      </c>
      <c r="J3" s="11" t="str">
        <f t="shared" si="3"/>
        <v/>
      </c>
    </row>
    <row r="4" spans="1:10" ht="16" x14ac:dyDescent="0.2">
      <c r="A4" s="5"/>
      <c r="B4" s="5"/>
      <c r="C4" s="6"/>
      <c r="D4" s="8">
        <f>PARAMS!$B$2</f>
        <v>55</v>
      </c>
      <c r="E4" s="9">
        <f t="shared" si="0"/>
        <v>0</v>
      </c>
      <c r="F4" s="8"/>
      <c r="G4" s="9">
        <f t="shared" si="1"/>
        <v>0</v>
      </c>
      <c r="H4" s="9">
        <f>IFERROR(SUMIF(PR_MATIERE!$A:$A,$A4,PR_MATIERE!$I:$I)+SUMIF(PR_MO!$A:$A,$A4,PR_MO!$J:$J),0)</f>
        <v>0</v>
      </c>
      <c r="I4" s="9">
        <f t="shared" si="2"/>
        <v>0</v>
      </c>
      <c r="J4" s="11" t="str">
        <f t="shared" si="3"/>
        <v/>
      </c>
    </row>
    <row r="5" spans="1:10" ht="16" x14ac:dyDescent="0.2">
      <c r="A5" s="5"/>
      <c r="B5" s="5"/>
      <c r="C5" s="6"/>
      <c r="D5" s="8">
        <f>PARAMS!$B$2</f>
        <v>55</v>
      </c>
      <c r="E5" s="9">
        <f t="shared" si="0"/>
        <v>0</v>
      </c>
      <c r="F5" s="8"/>
      <c r="G5" s="9">
        <f t="shared" si="1"/>
        <v>0</v>
      </c>
      <c r="H5" s="9">
        <f>IFERROR(SUMIF(PR_MATIERE!$A:$A,$A5,PR_MATIERE!$I:$I)+SUMIF(PR_MO!$A:$A,$A5,PR_MO!$J:$J),0)</f>
        <v>0</v>
      </c>
      <c r="I5" s="9">
        <f t="shared" si="2"/>
        <v>0</v>
      </c>
      <c r="J5" s="11" t="str">
        <f t="shared" si="3"/>
        <v/>
      </c>
    </row>
    <row r="6" spans="1:10" ht="16" x14ac:dyDescent="0.2">
      <c r="A6" s="5"/>
      <c r="B6" s="5"/>
      <c r="C6" s="6"/>
      <c r="D6" s="8">
        <f>PARAMS!$B$2</f>
        <v>55</v>
      </c>
      <c r="E6" s="9">
        <f t="shared" si="0"/>
        <v>0</v>
      </c>
      <c r="F6" s="8"/>
      <c r="G6" s="9">
        <f t="shared" si="1"/>
        <v>0</v>
      </c>
      <c r="H6" s="9">
        <f>IFERROR(SUMIF(PR_MATIERE!$A:$A,$A6,PR_MATIERE!$I:$I)+SUMIF(PR_MO!$A:$A,$A6,PR_MO!$J:$J),0)</f>
        <v>0</v>
      </c>
      <c r="I6" s="9">
        <f t="shared" si="2"/>
        <v>0</v>
      </c>
      <c r="J6" s="11" t="str">
        <f t="shared" si="3"/>
        <v/>
      </c>
    </row>
    <row r="7" spans="1:10" ht="16" x14ac:dyDescent="0.2">
      <c r="A7" s="5"/>
      <c r="B7" s="5"/>
      <c r="C7" s="6"/>
      <c r="D7" s="8">
        <f>PARAMS!$B$2</f>
        <v>55</v>
      </c>
      <c r="E7" s="9">
        <f t="shared" si="0"/>
        <v>0</v>
      </c>
      <c r="F7" s="8"/>
      <c r="G7" s="9">
        <f t="shared" si="1"/>
        <v>0</v>
      </c>
      <c r="H7" s="9">
        <f>IFERROR(SUMIF(PR_MATIERE!$A:$A,$A7,PR_MATIERE!$I:$I)+SUMIF(PR_MO!$A:$A,$A7,PR_MO!$J:$J),0)</f>
        <v>0</v>
      </c>
      <c r="I7" s="9">
        <f t="shared" si="2"/>
        <v>0</v>
      </c>
      <c r="J7" s="11" t="str">
        <f t="shared" si="3"/>
        <v/>
      </c>
    </row>
    <row r="8" spans="1:10" ht="16" x14ac:dyDescent="0.2">
      <c r="A8" s="5"/>
      <c r="B8" s="5"/>
      <c r="C8" s="6"/>
      <c r="D8" s="8">
        <f>PARAMS!$B$2</f>
        <v>55</v>
      </c>
      <c r="E8" s="9">
        <f t="shared" si="0"/>
        <v>0</v>
      </c>
      <c r="F8" s="8"/>
      <c r="G8" s="9">
        <f t="shared" si="1"/>
        <v>0</v>
      </c>
      <c r="H8" s="9">
        <f>IFERROR(SUMIF(PR_MATIERE!$A:$A,$A8,PR_MATIERE!$I:$I)+SUMIF(PR_MO!$A:$A,$A8,PR_MO!$J:$J),0)</f>
        <v>0</v>
      </c>
      <c r="I8" s="9">
        <f t="shared" si="2"/>
        <v>0</v>
      </c>
      <c r="J8" s="11" t="str">
        <f t="shared" si="3"/>
        <v/>
      </c>
    </row>
    <row r="9" spans="1:10" ht="16" x14ac:dyDescent="0.2">
      <c r="A9" s="5"/>
      <c r="B9" s="5"/>
      <c r="C9" s="6"/>
      <c r="D9" s="8">
        <f>PARAMS!$B$2</f>
        <v>55</v>
      </c>
      <c r="E9" s="9">
        <f t="shared" si="0"/>
        <v>0</v>
      </c>
      <c r="F9" s="8"/>
      <c r="G9" s="9">
        <f t="shared" si="1"/>
        <v>0</v>
      </c>
      <c r="H9" s="9">
        <f>IFERROR(SUMIF(PR_MATIERE!$A:$A,$A9,PR_MATIERE!$I:$I)+SUMIF(PR_MO!$A:$A,$A9,PR_MO!$J:$J),0)</f>
        <v>0</v>
      </c>
      <c r="I9" s="9">
        <f t="shared" si="2"/>
        <v>0</v>
      </c>
      <c r="J9" s="11" t="str">
        <f t="shared" si="3"/>
        <v/>
      </c>
    </row>
    <row r="10" spans="1:10" ht="16" x14ac:dyDescent="0.2">
      <c r="A10" s="5"/>
      <c r="B10" s="5"/>
      <c r="C10" s="6"/>
      <c r="D10" s="8">
        <f>PARAMS!$B$2</f>
        <v>55</v>
      </c>
      <c r="E10" s="9">
        <f t="shared" si="0"/>
        <v>0</v>
      </c>
      <c r="F10" s="8"/>
      <c r="G10" s="9">
        <f t="shared" si="1"/>
        <v>0</v>
      </c>
      <c r="H10" s="9">
        <f>IFERROR(SUMIF(PR_MATIERE!$A:$A,$A10,PR_MATIERE!$I:$I)+SUMIF(PR_MO!$A:$A,$A10,PR_MO!$J:$J),0)</f>
        <v>0</v>
      </c>
      <c r="I10" s="9">
        <f t="shared" si="2"/>
        <v>0</v>
      </c>
      <c r="J10" s="11" t="str">
        <f t="shared" si="3"/>
        <v/>
      </c>
    </row>
    <row r="11" spans="1:10" ht="16" x14ac:dyDescent="0.2">
      <c r="A11" s="5"/>
      <c r="B11" s="5"/>
      <c r="C11" s="6"/>
      <c r="D11" s="8">
        <f>PARAMS!$B$2</f>
        <v>55</v>
      </c>
      <c r="E11" s="9">
        <f t="shared" si="0"/>
        <v>0</v>
      </c>
      <c r="F11" s="8"/>
      <c r="G11" s="9">
        <f t="shared" si="1"/>
        <v>0</v>
      </c>
      <c r="H11" s="9">
        <f>IFERROR(SUMIF(PR_MATIERE!$A:$A,$A11,PR_MATIERE!$I:$I)+SUMIF(PR_MO!$A:$A,$A11,PR_MO!$J:$J),0)</f>
        <v>0</v>
      </c>
      <c r="I11" s="9">
        <f t="shared" si="2"/>
        <v>0</v>
      </c>
      <c r="J11" s="11" t="str">
        <f t="shared" si="3"/>
        <v/>
      </c>
    </row>
  </sheetData>
  <sheetProtection sheet="1"/>
  <dataValidations count="1">
    <dataValidation type="decimal" operator="greaterThanOrEqual" allowBlank="1" sqref="C2 C3 C4 C5 C6 C7 C8 C9 C10 C11 D2 D3 D4 D5 D6 D7 D8 D9 D10 D11 F2 F3 F4 F5 F6 F7 F8 F9 F10 F11" xr:uid="{00000000-0002-0000-0300-000000000000}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28" customWidth="1"/>
    <col min="2" max="2" width="18" customWidth="1"/>
  </cols>
  <sheetData>
    <row r="1" spans="1:2" ht="16" x14ac:dyDescent="0.2">
      <c r="A1" s="1" t="s">
        <v>33</v>
      </c>
      <c r="B1" s="1" t="s">
        <v>1</v>
      </c>
    </row>
    <row r="2" spans="1:2" ht="16" x14ac:dyDescent="0.2">
      <c r="A2" s="2" t="s">
        <v>34</v>
      </c>
      <c r="B2" s="12">
        <f>IFERROR(SUM(PR_MATIERE!I2:I11),0)</f>
        <v>2.06</v>
      </c>
    </row>
    <row r="3" spans="1:2" ht="16" x14ac:dyDescent="0.2">
      <c r="A3" s="2" t="s">
        <v>35</v>
      </c>
      <c r="B3" s="12">
        <f>IFERROR(SUM(PR_MO!J2:J11),0)</f>
        <v>0</v>
      </c>
    </row>
    <row r="4" spans="1:2" ht="16" x14ac:dyDescent="0.2">
      <c r="A4" s="2" t="s">
        <v>36</v>
      </c>
      <c r="B4" s="12">
        <f>IFERROR(B2+B3,0)</f>
        <v>2.06</v>
      </c>
    </row>
    <row r="5" spans="1:2" ht="16" x14ac:dyDescent="0.2">
      <c r="A5" s="2" t="s">
        <v>37</v>
      </c>
      <c r="B5" s="12">
        <f>IFERROR(B4*PARAMS!$B$3,0)</f>
        <v>0.20600000000000002</v>
      </c>
    </row>
    <row r="6" spans="1:2" ht="16" x14ac:dyDescent="0.2">
      <c r="A6" s="13" t="s">
        <v>38</v>
      </c>
      <c r="B6" s="14">
        <f>IFERROR(B4+B5,0)</f>
        <v>2.266</v>
      </c>
    </row>
    <row r="8" spans="1:2" ht="16" x14ac:dyDescent="0.2">
      <c r="A8" s="2" t="s">
        <v>39</v>
      </c>
      <c r="B8" s="12">
        <f>IFERROR(SUM(PR_MATIERE!M2:M11),0)</f>
        <v>2.4400699999999995</v>
      </c>
    </row>
    <row r="9" spans="1:2" ht="16" x14ac:dyDescent="0.2">
      <c r="A9" s="2" t="s">
        <v>40</v>
      </c>
      <c r="B9" s="12">
        <f>IFERROR(SUM(PR_MO!M2:M11),0)</f>
        <v>0</v>
      </c>
    </row>
    <row r="10" spans="1:2" ht="16" x14ac:dyDescent="0.2">
      <c r="A10" s="13" t="s">
        <v>41</v>
      </c>
      <c r="B10" s="14">
        <f>IFERROR(B8+B9,0)</f>
        <v>2.4400699999999995</v>
      </c>
    </row>
    <row r="11" spans="1:2" ht="16" x14ac:dyDescent="0.2">
      <c r="A11" s="2" t="s">
        <v>6</v>
      </c>
      <c r="B11" s="4">
        <f>PARAMS!$B$6</f>
        <v>0.21</v>
      </c>
    </row>
    <row r="12" spans="1:2" ht="16" x14ac:dyDescent="0.2">
      <c r="A12" s="13" t="s">
        <v>42</v>
      </c>
      <c r="B12" s="14">
        <f>IFERROR(B10*(1+B11),0)</f>
        <v>2.9524846999999994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tabSelected="1" workbookViewId="0">
      <selection sqref="A1:D3"/>
    </sheetView>
  </sheetViews>
  <sheetFormatPr baseColWidth="10" defaultColWidth="8.83203125" defaultRowHeight="15" x14ac:dyDescent="0.2"/>
  <cols>
    <col min="1" max="1" width="18" customWidth="1"/>
    <col min="2" max="2" width="30" customWidth="1"/>
    <col min="3" max="4" width="18" customWidth="1"/>
  </cols>
  <sheetData>
    <row r="1" spans="1:4" x14ac:dyDescent="0.2">
      <c r="A1" s="21" t="s">
        <v>43</v>
      </c>
      <c r="B1" s="19"/>
      <c r="C1" s="19"/>
      <c r="D1" s="19"/>
    </row>
    <row r="2" spans="1:4" x14ac:dyDescent="0.2">
      <c r="A2" s="19"/>
      <c r="B2" s="19"/>
      <c r="C2" s="19"/>
      <c r="D2" s="19"/>
    </row>
    <row r="3" spans="1:4" ht="105" customHeight="1" x14ac:dyDescent="0.2">
      <c r="A3" s="19"/>
      <c r="B3" s="19"/>
      <c r="C3" s="19"/>
      <c r="D3" s="19"/>
    </row>
    <row r="5" spans="1:4" ht="26" x14ac:dyDescent="0.2">
      <c r="A5" s="18" t="s">
        <v>44</v>
      </c>
      <c r="B5" s="19"/>
      <c r="C5" s="19"/>
      <c r="D5" s="19"/>
    </row>
    <row r="7" spans="1:4" x14ac:dyDescent="0.2">
      <c r="A7" s="20" t="s">
        <v>45</v>
      </c>
      <c r="B7" s="19"/>
      <c r="C7" s="20" t="s">
        <v>46</v>
      </c>
      <c r="D7" s="19"/>
    </row>
    <row r="8" spans="1:4" x14ac:dyDescent="0.2">
      <c r="A8" s="19"/>
      <c r="B8" s="19"/>
      <c r="C8" s="19"/>
      <c r="D8" s="19"/>
    </row>
    <row r="9" spans="1:4" x14ac:dyDescent="0.2">
      <c r="A9" s="19"/>
      <c r="B9" s="19"/>
      <c r="C9" s="19"/>
      <c r="D9" s="19"/>
    </row>
    <row r="10" spans="1:4" x14ac:dyDescent="0.2">
      <c r="A10" s="19"/>
      <c r="B10" s="19"/>
      <c r="C10" s="19"/>
      <c r="D10" s="19"/>
    </row>
    <row r="12" spans="1:4" x14ac:dyDescent="0.2">
      <c r="A12" s="22"/>
      <c r="B12" s="19"/>
      <c r="C12" s="19"/>
      <c r="D12" s="19"/>
    </row>
    <row r="14" spans="1:4" x14ac:dyDescent="0.2">
      <c r="A14" s="23" t="s">
        <v>47</v>
      </c>
      <c r="B14" s="19"/>
      <c r="C14" s="19"/>
      <c r="D14" s="16">
        <f>SYNTHESE!B6</f>
        <v>2.266</v>
      </c>
    </row>
    <row r="15" spans="1:4" x14ac:dyDescent="0.2">
      <c r="A15" s="23" t="s">
        <v>48</v>
      </c>
      <c r="B15" s="19"/>
      <c r="C15" s="19"/>
      <c r="D15" s="16">
        <f>SYNTHESE!B10</f>
        <v>2.4400699999999995</v>
      </c>
    </row>
    <row r="16" spans="1:4" x14ac:dyDescent="0.2">
      <c r="A16" s="23" t="s">
        <v>49</v>
      </c>
      <c r="B16" s="19"/>
      <c r="C16" s="19"/>
      <c r="D16" s="17">
        <f>SYNTHESE!B11</f>
        <v>0.21</v>
      </c>
    </row>
    <row r="17" spans="1:4" x14ac:dyDescent="0.2">
      <c r="A17" s="15" t="s">
        <v>50</v>
      </c>
      <c r="D17" s="16">
        <f>SYNTHESE!B12</f>
        <v>2.9524846999999994</v>
      </c>
    </row>
    <row r="20" spans="1:4" x14ac:dyDescent="0.2">
      <c r="A20" s="24" t="s">
        <v>51</v>
      </c>
      <c r="B20" s="19"/>
      <c r="C20" s="19"/>
      <c r="D20" s="19"/>
    </row>
    <row r="21" spans="1:4" x14ac:dyDescent="0.2">
      <c r="A21" s="19"/>
      <c r="B21" s="19"/>
      <c r="C21" s="19"/>
      <c r="D21" s="19"/>
    </row>
    <row r="22" spans="1:4" x14ac:dyDescent="0.2">
      <c r="A22" s="19"/>
      <c r="B22" s="19"/>
      <c r="C22" s="19"/>
      <c r="D22" s="19"/>
    </row>
  </sheetData>
  <mergeCells count="9">
    <mergeCell ref="A20:D22"/>
    <mergeCell ref="A15:C15"/>
    <mergeCell ref="A16:C16"/>
    <mergeCell ref="A5:D5"/>
    <mergeCell ref="A7:B10"/>
    <mergeCell ref="A1:D3"/>
    <mergeCell ref="A12:D12"/>
    <mergeCell ref="A14:C14"/>
    <mergeCell ref="C7:D10"/>
  </mergeCells>
  <pageMargins left="0.5" right="0.5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PARAMS</vt:lpstr>
      <vt:lpstr>PR_MATIERE</vt:lpstr>
      <vt:lpstr>PR_MO</vt:lpstr>
      <vt:lpstr>EXECUTION</vt:lpstr>
      <vt:lpstr>SYNTHESE</vt:lpstr>
      <vt:lpstr>SOUMISSION</vt:lpstr>
      <vt:lpstr>SOUMISSION!Impression_des_titres</vt:lpstr>
      <vt:lpstr>SOUMISSION!Zone_d_impression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Senterre</cp:lastModifiedBy>
  <dcterms:created xsi:type="dcterms:W3CDTF">2026-01-22T16:38:54Z</dcterms:created>
  <dcterms:modified xsi:type="dcterms:W3CDTF">2026-01-23T05:47:43Z</dcterms:modified>
</cp:coreProperties>
</file>
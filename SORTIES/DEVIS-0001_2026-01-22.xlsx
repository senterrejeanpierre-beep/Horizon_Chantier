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PR_MATIERE" sheetId="2" state="visible" r:id="rId2"/>
    <sheet name="PR_MO" sheetId="3" state="visible" r:id="rId3"/>
    <sheet name="EXECUTION" sheetId="4" state="visible" r:id="rId4"/>
    <sheet name="SYNTHESE" sheetId="5" state="visible" r:id="rId5"/>
    <sheet name="SOUMIS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8FF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left" vertical="center" wrapText="1"/>
    </xf>
    <xf numFmtId="10" fontId="0" fillId="0" borderId="1" applyAlignment="1" pivotButton="0" quotePrefix="0" xfId="0">
      <alignment horizontal="left" vertical="center" wrapText="1"/>
    </xf>
    <xf numFmtId="0" fontId="0" fillId="3" borderId="1" applyAlignment="1" applyProtection="1" pivotButton="0" quotePrefix="0" xfId="0">
      <alignment horizontal="left" vertical="center" wrapText="1"/>
      <protection locked="0" hidden="0"/>
    </xf>
    <xf numFmtId="4" fontId="0" fillId="3" borderId="1" applyAlignment="1" applyProtection="1" pivotButton="0" quotePrefix="0" xfId="0">
      <alignment horizontal="left" vertical="center" wrapText="1"/>
      <protection locked="0" hidden="0"/>
    </xf>
    <xf numFmtId="10" fontId="0" fillId="3" borderId="1" applyAlignment="1" applyProtection="1" pivotButton="0" quotePrefix="0" xfId="0">
      <alignment horizontal="left" vertical="center" wrapText="1"/>
      <protection locked="0" hidden="0"/>
    </xf>
    <xf numFmtId="164" fontId="0" fillId="3" borderId="1" applyAlignment="1" applyProtection="1" pivotButton="0" quotePrefix="0" xfId="0">
      <alignment horizontal="left" vertical="center" wrapText="1"/>
      <protection locked="0" hidden="0"/>
    </xf>
    <xf numFmtId="164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1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Taux horaire (€/h)</t>
        </is>
      </c>
      <c r="B2" s="3" t="n">
        <v>55</v>
      </c>
    </row>
    <row r="3">
      <c r="A3" s="2" t="inlineStr">
        <is>
          <t>Frais généraux %</t>
        </is>
      </c>
      <c r="B3" s="4" t="n">
        <v>0.1</v>
      </c>
    </row>
    <row r="4">
      <c r="A4" s="2" t="inlineStr">
        <is>
          <t>Marge aménagement %</t>
        </is>
      </c>
      <c r="B4" s="4" t="n">
        <v>0.1</v>
      </c>
    </row>
    <row r="5">
      <c r="A5" s="2" t="inlineStr">
        <is>
          <t>Marge vente %</t>
        </is>
      </c>
      <c r="B5" s="4" t="n">
        <v>0.15</v>
      </c>
    </row>
    <row r="6">
      <c r="A6" s="2" t="inlineStr">
        <is>
          <t>TVA %</t>
        </is>
      </c>
      <c r="B6" s="4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2" customWidth="1" min="4" max="4"/>
    <col width="8" customWidth="1" min="5" max="5"/>
    <col width="12" customWidth="1" min="6" max="6"/>
    <col width="10" customWidth="1" min="7" max="7"/>
    <col width="12" customWidth="1" min="8" max="8"/>
    <col width="16" customWidth="1" min="9" max="9"/>
    <col width="14" customWidth="1" min="10" max="10"/>
    <col width="18" customWidth="1" min="11" max="11"/>
    <col width="14" customWidth="1" min="12" max="12"/>
    <col width="16" customWidth="1" min="13" max="13"/>
  </cols>
  <sheetData>
    <row r="1">
      <c r="A1" s="1" t="inlineStr">
        <is>
          <t>N° poste</t>
        </is>
      </c>
      <c r="B1" s="1" t="inlineStr">
        <is>
          <t>Poste</t>
        </is>
      </c>
      <c r="C1" s="1" t="inlineStr">
        <is>
          <t>Texte</t>
        </is>
      </c>
      <c r="D1" s="1" t="inlineStr">
        <is>
          <t>Désignation (matière)</t>
        </is>
      </c>
      <c r="E1" s="1" t="inlineStr">
        <is>
          <t>Unité</t>
        </is>
      </c>
      <c r="F1" s="1" t="inlineStr">
        <is>
          <t>Qté poste</t>
        </is>
      </c>
      <c r="G1" s="1" t="inlineStr">
        <is>
          <t>Perte %</t>
        </is>
      </c>
      <c r="H1" s="1" t="inlineStr">
        <is>
          <t>PU net</t>
        </is>
      </c>
      <c r="I1" s="1" t="inlineStr">
        <is>
          <t>Total matière (poste)</t>
        </is>
      </c>
      <c r="J1" s="1" t="inlineStr">
        <is>
          <t>PU revient (poste)</t>
        </is>
      </c>
      <c r="K1" s="1" t="inlineStr">
        <is>
          <t>Marge aménagement %</t>
        </is>
      </c>
      <c r="L1" s="1" t="inlineStr">
        <is>
          <t>Marge vente %</t>
        </is>
      </c>
      <c r="M1" s="1" t="inlineStr">
        <is>
          <t>Total ligne (vente)</t>
        </is>
      </c>
    </row>
    <row r="2">
      <c r="A2" s="5" t="n"/>
      <c r="B2" s="5" t="n"/>
      <c r="C2" s="5" t="n"/>
      <c r="D2" s="5" t="n"/>
      <c r="E2" s="5" t="n"/>
      <c r="F2" s="6" t="n"/>
      <c r="G2" s="7" t="n"/>
      <c r="H2" s="8" t="n"/>
      <c r="I2" s="9">
        <f>IFERROR(F2*H2*(1+G2),"")</f>
        <v/>
      </c>
      <c r="J2" s="9">
        <f>IFERROR(I2/F2,"")</f>
        <v/>
      </c>
      <c r="K2" s="7">
        <f>PARAMS!$B$4</f>
        <v/>
      </c>
      <c r="L2" s="7">
        <f>PARAMS!$B$5</f>
        <v/>
      </c>
      <c r="M2" s="9">
        <f>IFERROR(J2*F2*(1+K2)*(1+L2),"")</f>
        <v/>
      </c>
    </row>
    <row r="3">
      <c r="A3" s="5" t="n"/>
      <c r="B3" s="5" t="n"/>
      <c r="C3" s="5" t="n"/>
      <c r="D3" s="5" t="n"/>
      <c r="E3" s="5" t="n"/>
      <c r="F3" s="6" t="n"/>
      <c r="G3" s="7" t="n"/>
      <c r="H3" s="8" t="n"/>
      <c r="I3" s="9">
        <f>IFERROR(F3*H3*(1+G3),"")</f>
        <v/>
      </c>
      <c r="J3" s="9">
        <f>IFERROR(I3/F3,"")</f>
        <v/>
      </c>
      <c r="K3" s="7">
        <f>PARAMS!$B$4</f>
        <v/>
      </c>
      <c r="L3" s="7">
        <f>PARAMS!$B$5</f>
        <v/>
      </c>
      <c r="M3" s="9">
        <f>IFERROR(J3*F3*(1+K3)*(1+L3),"")</f>
        <v/>
      </c>
    </row>
    <row r="4">
      <c r="A4" s="5" t="n"/>
      <c r="B4" s="5" t="n"/>
      <c r="C4" s="5" t="n"/>
      <c r="D4" s="5" t="n"/>
      <c r="E4" s="5" t="n"/>
      <c r="F4" s="6" t="n"/>
      <c r="G4" s="7" t="n"/>
      <c r="H4" s="8" t="n"/>
      <c r="I4" s="9">
        <f>IFERROR(F4*H4*(1+G4),"")</f>
        <v/>
      </c>
      <c r="J4" s="9">
        <f>IFERROR(I4/F4,"")</f>
        <v/>
      </c>
      <c r="K4" s="7">
        <f>PARAMS!$B$4</f>
        <v/>
      </c>
      <c r="L4" s="7">
        <f>PARAMS!$B$5</f>
        <v/>
      </c>
      <c r="M4" s="9">
        <f>IFERROR(J4*F4*(1+K4)*(1+L4),"")</f>
        <v/>
      </c>
    </row>
    <row r="5">
      <c r="A5" s="5" t="n"/>
      <c r="B5" s="5" t="n"/>
      <c r="C5" s="5" t="n"/>
      <c r="D5" s="5" t="n"/>
      <c r="E5" s="5" t="n"/>
      <c r="F5" s="6" t="n"/>
      <c r="G5" s="7" t="n"/>
      <c r="H5" s="8" t="n"/>
      <c r="I5" s="9">
        <f>IFERROR(F5*H5*(1+G5),"")</f>
        <v/>
      </c>
      <c r="J5" s="9">
        <f>IFERROR(I5/F5,"")</f>
        <v/>
      </c>
      <c r="K5" s="7">
        <f>PARAMS!$B$4</f>
        <v/>
      </c>
      <c r="L5" s="7">
        <f>PARAMS!$B$5</f>
        <v/>
      </c>
      <c r="M5" s="9">
        <f>IFERROR(J5*F5*(1+K5)*(1+L5),"")</f>
        <v/>
      </c>
    </row>
    <row r="6">
      <c r="A6" s="5" t="n"/>
      <c r="B6" s="5" t="n"/>
      <c r="C6" s="5" t="n"/>
      <c r="D6" s="5" t="n"/>
      <c r="E6" s="5" t="n"/>
      <c r="F6" s="6" t="n"/>
      <c r="G6" s="7" t="n"/>
      <c r="H6" s="8" t="n"/>
      <c r="I6" s="9">
        <f>IFERROR(F6*H6*(1+G6),"")</f>
        <v/>
      </c>
      <c r="J6" s="9">
        <f>IFERROR(I6/F6,"")</f>
        <v/>
      </c>
      <c r="K6" s="7">
        <f>PARAMS!$B$4</f>
        <v/>
      </c>
      <c r="L6" s="7">
        <f>PARAMS!$B$5</f>
        <v/>
      </c>
      <c r="M6" s="9">
        <f>IFERROR(J6*F6*(1+K6)*(1+L6),"")</f>
        <v/>
      </c>
    </row>
    <row r="7">
      <c r="A7" s="5" t="n"/>
      <c r="B7" s="5" t="n"/>
      <c r="C7" s="5" t="n"/>
      <c r="D7" s="5" t="n"/>
      <c r="E7" s="5" t="n"/>
      <c r="F7" s="6" t="n"/>
      <c r="G7" s="7" t="n"/>
      <c r="H7" s="8" t="n"/>
      <c r="I7" s="9">
        <f>IFERROR(F7*H7*(1+G7),"")</f>
        <v/>
      </c>
      <c r="J7" s="9">
        <f>IFERROR(I7/F7,"")</f>
        <v/>
      </c>
      <c r="K7" s="7">
        <f>PARAMS!$B$4</f>
        <v/>
      </c>
      <c r="L7" s="7">
        <f>PARAMS!$B$5</f>
        <v/>
      </c>
      <c r="M7" s="9">
        <f>IFERROR(J7*F7*(1+K7)*(1+L7),"")</f>
        <v/>
      </c>
    </row>
    <row r="8">
      <c r="A8" s="5" t="n"/>
      <c r="B8" s="5" t="n"/>
      <c r="C8" s="5" t="n"/>
      <c r="D8" s="5" t="n"/>
      <c r="E8" s="5" t="n"/>
      <c r="F8" s="6" t="n"/>
      <c r="G8" s="7" t="n"/>
      <c r="H8" s="8" t="n"/>
      <c r="I8" s="9">
        <f>IFERROR(F8*H8*(1+G8),"")</f>
        <v/>
      </c>
      <c r="J8" s="9">
        <f>IFERROR(I8/F8,"")</f>
        <v/>
      </c>
      <c r="K8" s="7">
        <f>PARAMS!$B$4</f>
        <v/>
      </c>
      <c r="L8" s="7">
        <f>PARAMS!$B$5</f>
        <v/>
      </c>
      <c r="M8" s="9">
        <f>IFERROR(J8*F8*(1+K8)*(1+L8),"")</f>
        <v/>
      </c>
    </row>
    <row r="9">
      <c r="A9" s="5" t="n"/>
      <c r="B9" s="5" t="n"/>
      <c r="C9" s="5" t="n"/>
      <c r="D9" s="5" t="n"/>
      <c r="E9" s="5" t="n"/>
      <c r="F9" s="6" t="n"/>
      <c r="G9" s="7" t="n"/>
      <c r="H9" s="8" t="n"/>
      <c r="I9" s="9">
        <f>IFERROR(F9*H9*(1+G9),"")</f>
        <v/>
      </c>
      <c r="J9" s="9">
        <f>IFERROR(I9/F9,"")</f>
        <v/>
      </c>
      <c r="K9" s="7">
        <f>PARAMS!$B$4</f>
        <v/>
      </c>
      <c r="L9" s="7">
        <f>PARAMS!$B$5</f>
        <v/>
      </c>
      <c r="M9" s="9">
        <f>IFERROR(J9*F9*(1+K9)*(1+L9),"")</f>
        <v/>
      </c>
    </row>
    <row r="10">
      <c r="A10" s="5" t="n"/>
      <c r="B10" s="5" t="n"/>
      <c r="C10" s="5" t="n"/>
      <c r="D10" s="5" t="n"/>
      <c r="E10" s="5" t="n"/>
      <c r="F10" s="6" t="n"/>
      <c r="G10" s="7" t="n"/>
      <c r="H10" s="8" t="n"/>
      <c r="I10" s="9">
        <f>IFERROR(F10*H10*(1+G10),"")</f>
        <v/>
      </c>
      <c r="J10" s="9">
        <f>IFERROR(I10/F10,"")</f>
        <v/>
      </c>
      <c r="K10" s="7">
        <f>PARAMS!$B$4</f>
        <v/>
      </c>
      <c r="L10" s="7">
        <f>PARAMS!$B$5</f>
        <v/>
      </c>
      <c r="M10" s="9">
        <f>IFERROR(J10*F10*(1+K10)*(1+L10),"")</f>
        <v/>
      </c>
    </row>
    <row r="11">
      <c r="A11" s="5" t="n"/>
      <c r="B11" s="5" t="n"/>
      <c r="C11" s="5" t="n"/>
      <c r="D11" s="5" t="n"/>
      <c r="E11" s="5" t="n"/>
      <c r="F11" s="6" t="n"/>
      <c r="G11" s="7" t="n"/>
      <c r="H11" s="8" t="n"/>
      <c r="I11" s="9">
        <f>IFERROR(F11*H11*(1+G11),"")</f>
        <v/>
      </c>
      <c r="J11" s="9">
        <f>IFERROR(I11/F11,"")</f>
        <v/>
      </c>
      <c r="K11" s="7">
        <f>PARAMS!$B$4</f>
        <v/>
      </c>
      <c r="L11" s="7">
        <f>PARAMS!$B$5</f>
        <v/>
      </c>
      <c r="M11" s="9">
        <f>IFERROR(J11*F11*(1+K11)*(1+L11),"")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G2 G3 G4 G5 G6 G7 G8 G9 G10 G11 K2 K3 K4 K5 K6 K7 K8 K9 K10 K11 L2 L3 L4 L5 L6 L7 L8 L9 L10 L11" showDropDown="0" showInputMessage="0" showErrorMessage="0" allowBlank="1" type="decimal" operator="between">
      <formula1>0</formula1>
      <formula2>1</formula2>
    </dataValidation>
    <dataValidation sqref="F2 F3 F4 F5 F6 F7 F8 F9 F10 F11 H2 H3 H4 H5 H6 H7 H8 H9 H10 H1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4" customWidth="1" min="4" max="4"/>
    <col width="10" customWidth="1" min="5" max="5"/>
    <col width="18" customWidth="1" min="6" max="6"/>
    <col width="12" customWidth="1" min="7" max="7"/>
    <col width="16" customWidth="1" min="8" max="8"/>
    <col width="12" customWidth="1" min="9" max="9"/>
    <col width="16" customWidth="1" min="10" max="10"/>
    <col width="18" customWidth="1" min="11" max="11"/>
    <col width="14" customWidth="1" min="12" max="12"/>
    <col width="16" customWidth="1" min="13" max="13"/>
  </cols>
  <sheetData>
    <row r="1">
      <c r="A1" s="1" t="inlineStr">
        <is>
          <t>N° poste</t>
        </is>
      </c>
      <c r="B1" s="1" t="inlineStr">
        <is>
          <t>Poste</t>
        </is>
      </c>
      <c r="C1" s="1" t="inlineStr">
        <is>
          <t>Texte</t>
        </is>
      </c>
      <c r="D1" s="1" t="inlineStr">
        <is>
          <t>Désignation (MO)</t>
        </is>
      </c>
      <c r="E1" s="1" t="inlineStr">
        <is>
          <t>Nb hommes</t>
        </is>
      </c>
      <c r="F1" s="1" t="inlineStr">
        <is>
          <t>Heures / homme / jour</t>
        </is>
      </c>
      <c r="G1" s="1" t="inlineStr">
        <is>
          <t>Délai (jours)</t>
        </is>
      </c>
      <c r="H1" s="1" t="inlineStr">
        <is>
          <t>Total heures (poste)</t>
        </is>
      </c>
      <c r="I1" s="1" t="inlineStr">
        <is>
          <t>Taux horaire</t>
        </is>
      </c>
      <c r="J1" s="1" t="inlineStr">
        <is>
          <t>Coût MO (poste)</t>
        </is>
      </c>
      <c r="K1" s="1" t="inlineStr">
        <is>
          <t>Marge aménagement %</t>
        </is>
      </c>
      <c r="L1" s="1" t="inlineStr">
        <is>
          <t>Marge vente %</t>
        </is>
      </c>
      <c r="M1" s="1" t="inlineStr">
        <is>
          <t>Total ligne (vente)</t>
        </is>
      </c>
    </row>
    <row r="2">
      <c r="A2" s="5" t="n"/>
      <c r="B2" s="5" t="n"/>
      <c r="C2" s="5" t="n"/>
      <c r="D2" s="5" t="n"/>
      <c r="E2" s="6" t="n"/>
      <c r="F2" s="6" t="n"/>
      <c r="G2" s="6" t="n"/>
      <c r="H2" s="10">
        <f>IFERROR(E2*F2*G2,"")</f>
        <v/>
      </c>
      <c r="I2" s="8">
        <f>PARAMS!$B$2</f>
        <v/>
      </c>
      <c r="J2" s="9">
        <f>IFERROR(H2*I2,"")</f>
        <v/>
      </c>
      <c r="K2" s="7">
        <f>PARAMS!$B$4</f>
        <v/>
      </c>
      <c r="L2" s="7">
        <f>PARAMS!$B$5</f>
        <v/>
      </c>
      <c r="M2" s="9">
        <f>IFERROR(J2*(1+K2)*(1+L2),"")</f>
        <v/>
      </c>
    </row>
    <row r="3">
      <c r="A3" s="5" t="n"/>
      <c r="B3" s="5" t="n"/>
      <c r="C3" s="5" t="n"/>
      <c r="D3" s="5" t="n"/>
      <c r="E3" s="6" t="n"/>
      <c r="F3" s="6" t="n"/>
      <c r="G3" s="6" t="n"/>
      <c r="H3" s="10">
        <f>IFERROR(E3*F3*G3,"")</f>
        <v/>
      </c>
      <c r="I3" s="8">
        <f>PARAMS!$B$2</f>
        <v/>
      </c>
      <c r="J3" s="9">
        <f>IFERROR(H3*I3,"")</f>
        <v/>
      </c>
      <c r="K3" s="7">
        <f>PARAMS!$B$4</f>
        <v/>
      </c>
      <c r="L3" s="7">
        <f>PARAMS!$B$5</f>
        <v/>
      </c>
      <c r="M3" s="9">
        <f>IFERROR(J3*(1+K3)*(1+L3),"")</f>
        <v/>
      </c>
    </row>
    <row r="4">
      <c r="A4" s="5" t="n"/>
      <c r="B4" s="5" t="n"/>
      <c r="C4" s="5" t="n"/>
      <c r="D4" s="5" t="n"/>
      <c r="E4" s="6" t="n"/>
      <c r="F4" s="6" t="n"/>
      <c r="G4" s="6" t="n"/>
      <c r="H4" s="10">
        <f>IFERROR(E4*F4*G4,"")</f>
        <v/>
      </c>
      <c r="I4" s="8">
        <f>PARAMS!$B$2</f>
        <v/>
      </c>
      <c r="J4" s="9">
        <f>IFERROR(H4*I4,"")</f>
        <v/>
      </c>
      <c r="K4" s="7">
        <f>PARAMS!$B$4</f>
        <v/>
      </c>
      <c r="L4" s="7">
        <f>PARAMS!$B$5</f>
        <v/>
      </c>
      <c r="M4" s="9">
        <f>IFERROR(J4*(1+K4)*(1+L4),"")</f>
        <v/>
      </c>
    </row>
    <row r="5">
      <c r="A5" s="5" t="n"/>
      <c r="B5" s="5" t="n"/>
      <c r="C5" s="5" t="n"/>
      <c r="D5" s="5" t="n"/>
      <c r="E5" s="6" t="n"/>
      <c r="F5" s="6" t="n"/>
      <c r="G5" s="6" t="n"/>
      <c r="H5" s="10">
        <f>IFERROR(E5*F5*G5,"")</f>
        <v/>
      </c>
      <c r="I5" s="8">
        <f>PARAMS!$B$2</f>
        <v/>
      </c>
      <c r="J5" s="9">
        <f>IFERROR(H5*I5,"")</f>
        <v/>
      </c>
      <c r="K5" s="7">
        <f>PARAMS!$B$4</f>
        <v/>
      </c>
      <c r="L5" s="7">
        <f>PARAMS!$B$5</f>
        <v/>
      </c>
      <c r="M5" s="9">
        <f>IFERROR(J5*(1+K5)*(1+L5),"")</f>
        <v/>
      </c>
    </row>
    <row r="6">
      <c r="A6" s="5" t="n"/>
      <c r="B6" s="5" t="n"/>
      <c r="C6" s="5" t="n"/>
      <c r="D6" s="5" t="n"/>
      <c r="E6" s="6" t="n"/>
      <c r="F6" s="6" t="n"/>
      <c r="G6" s="6" t="n"/>
      <c r="H6" s="10">
        <f>IFERROR(E6*F6*G6,"")</f>
        <v/>
      </c>
      <c r="I6" s="8">
        <f>PARAMS!$B$2</f>
        <v/>
      </c>
      <c r="J6" s="9">
        <f>IFERROR(H6*I6,"")</f>
        <v/>
      </c>
      <c r="K6" s="7">
        <f>PARAMS!$B$4</f>
        <v/>
      </c>
      <c r="L6" s="7">
        <f>PARAMS!$B$5</f>
        <v/>
      </c>
      <c r="M6" s="9">
        <f>IFERROR(J6*(1+K6)*(1+L6),"")</f>
        <v/>
      </c>
    </row>
    <row r="7">
      <c r="A7" s="5" t="n"/>
      <c r="B7" s="5" t="n"/>
      <c r="C7" s="5" t="n"/>
      <c r="D7" s="5" t="n"/>
      <c r="E7" s="6" t="n"/>
      <c r="F7" s="6" t="n"/>
      <c r="G7" s="6" t="n"/>
      <c r="H7" s="10">
        <f>IFERROR(E7*F7*G7,"")</f>
        <v/>
      </c>
      <c r="I7" s="8">
        <f>PARAMS!$B$2</f>
        <v/>
      </c>
      <c r="J7" s="9">
        <f>IFERROR(H7*I7,"")</f>
        <v/>
      </c>
      <c r="K7" s="7">
        <f>PARAMS!$B$4</f>
        <v/>
      </c>
      <c r="L7" s="7">
        <f>PARAMS!$B$5</f>
        <v/>
      </c>
      <c r="M7" s="9">
        <f>IFERROR(J7*(1+K7)*(1+L7),"")</f>
        <v/>
      </c>
    </row>
    <row r="8">
      <c r="A8" s="5" t="n"/>
      <c r="B8" s="5" t="n"/>
      <c r="C8" s="5" t="n"/>
      <c r="D8" s="5" t="n"/>
      <c r="E8" s="6" t="n"/>
      <c r="F8" s="6" t="n"/>
      <c r="G8" s="6" t="n"/>
      <c r="H8" s="10">
        <f>IFERROR(E8*F8*G8,"")</f>
        <v/>
      </c>
      <c r="I8" s="8">
        <f>PARAMS!$B$2</f>
        <v/>
      </c>
      <c r="J8" s="9">
        <f>IFERROR(H8*I8,"")</f>
        <v/>
      </c>
      <c r="K8" s="7">
        <f>PARAMS!$B$4</f>
        <v/>
      </c>
      <c r="L8" s="7">
        <f>PARAMS!$B$5</f>
        <v/>
      </c>
      <c r="M8" s="9">
        <f>IFERROR(J8*(1+K8)*(1+L8),"")</f>
        <v/>
      </c>
    </row>
    <row r="9">
      <c r="A9" s="5" t="n"/>
      <c r="B9" s="5" t="n"/>
      <c r="C9" s="5" t="n"/>
      <c r="D9" s="5" t="n"/>
      <c r="E9" s="6" t="n"/>
      <c r="F9" s="6" t="n"/>
      <c r="G9" s="6" t="n"/>
      <c r="H9" s="10">
        <f>IFERROR(E9*F9*G9,"")</f>
        <v/>
      </c>
      <c r="I9" s="8">
        <f>PARAMS!$B$2</f>
        <v/>
      </c>
      <c r="J9" s="9">
        <f>IFERROR(H9*I9,"")</f>
        <v/>
      </c>
      <c r="K9" s="7">
        <f>PARAMS!$B$4</f>
        <v/>
      </c>
      <c r="L9" s="7">
        <f>PARAMS!$B$5</f>
        <v/>
      </c>
      <c r="M9" s="9">
        <f>IFERROR(J9*(1+K9)*(1+L9),"")</f>
        <v/>
      </c>
    </row>
    <row r="10">
      <c r="A10" s="5" t="n"/>
      <c r="B10" s="5" t="n"/>
      <c r="C10" s="5" t="n"/>
      <c r="D10" s="5" t="n"/>
      <c r="E10" s="6" t="n"/>
      <c r="F10" s="6" t="n"/>
      <c r="G10" s="6" t="n"/>
      <c r="H10" s="10">
        <f>IFERROR(E10*F10*G10,"")</f>
        <v/>
      </c>
      <c r="I10" s="8">
        <f>PARAMS!$B$2</f>
        <v/>
      </c>
      <c r="J10" s="9">
        <f>IFERROR(H10*I10,"")</f>
        <v/>
      </c>
      <c r="K10" s="7">
        <f>PARAMS!$B$4</f>
        <v/>
      </c>
      <c r="L10" s="7">
        <f>PARAMS!$B$5</f>
        <v/>
      </c>
      <c r="M10" s="9">
        <f>IFERROR(J10*(1+K10)*(1+L10),"")</f>
        <v/>
      </c>
    </row>
    <row r="11">
      <c r="A11" s="5" t="n"/>
      <c r="B11" s="5" t="n"/>
      <c r="C11" s="5" t="n"/>
      <c r="D11" s="5" t="n"/>
      <c r="E11" s="6" t="n"/>
      <c r="F11" s="6" t="n"/>
      <c r="G11" s="6" t="n"/>
      <c r="H11" s="10">
        <f>IFERROR(E11*F11*G11,"")</f>
        <v/>
      </c>
      <c r="I11" s="8">
        <f>PARAMS!$B$2</f>
        <v/>
      </c>
      <c r="J11" s="9">
        <f>IFERROR(H11*I11,"")</f>
        <v/>
      </c>
      <c r="K11" s="7">
        <f>PARAMS!$B$4</f>
        <v/>
      </c>
      <c r="L11" s="7">
        <f>PARAMS!$B$5</f>
        <v/>
      </c>
      <c r="M11" s="9">
        <f>IFERROR(J11*(1+K11)*(1+L11),"")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K2 K3 K4 K5 K6 K7 K8 K9 K10 K11 L2 L3 L4 L5 L6 L7 L8 L9 L10 L11" showDropDown="0" showInputMessage="0" showErrorMessage="0" allowBlank="1" type="decimal" operator="between">
      <formula1>0</formula1>
      <formula2>1</formula2>
    </dataValidation>
    <dataValidation sqref="E2 E3 E4 E5 E6 E7 E8 E9 E10 E11 F2 F3 F4 F5 F6 F7 F8 F9 F10 F11 G2 G3 G4 G5 G6 G7 G8 G9 G10 G1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N° poste</t>
        </is>
      </c>
      <c r="B1" s="1" t="inlineStr">
        <is>
          <t>Poste</t>
        </is>
      </c>
      <c r="C1" s="1" t="inlineStr">
        <is>
          <t>Heures réelles (poste)</t>
        </is>
      </c>
      <c r="D1" s="1" t="inlineStr">
        <is>
          <t>Taux horaire réel</t>
        </is>
      </c>
      <c r="E1" s="1" t="inlineStr">
        <is>
          <t>Coût MO réel (poste)</t>
        </is>
      </c>
      <c r="F1" s="1" t="inlineStr">
        <is>
          <t>Coût matière réel (poste)</t>
        </is>
      </c>
      <c r="G1" s="1" t="inlineStr">
        <is>
          <t>Coût réel total (poste)</t>
        </is>
      </c>
      <c r="H1" s="1" t="inlineStr">
        <is>
          <t>Coût prévu total (poste)</t>
        </is>
      </c>
      <c r="I1" s="1" t="inlineStr">
        <is>
          <t>Écart € (réel - prévu)</t>
        </is>
      </c>
      <c r="J1" s="1" t="inlineStr">
        <is>
          <t>Écart % (réel - prévu)</t>
        </is>
      </c>
    </row>
    <row r="2">
      <c r="A2" s="5" t="n"/>
      <c r="B2" s="5" t="n"/>
      <c r="C2" s="6" t="n"/>
      <c r="D2" s="8">
        <f>PARAMS!$B$2</f>
        <v/>
      </c>
      <c r="E2" s="9">
        <f>IFERROR(C2*D2,"")</f>
        <v/>
      </c>
      <c r="F2" s="8" t="n"/>
      <c r="G2" s="9">
        <f>IFERROR(E2+F2,"")</f>
        <v/>
      </c>
      <c r="H2" s="9">
        <f>IFERROR(SUMIF(PR_MATIERE!$A:$A,$A2,PR_MATIERE!$I:$I)+SUMIF(PR_MO!$A:$A,$A2,PR_MO!$J:$J),0)</f>
        <v/>
      </c>
      <c r="I2" s="9">
        <f>IFERROR(G2-H2,"")</f>
        <v/>
      </c>
      <c r="J2" s="11">
        <f>IFERROR(I2/H2,"")</f>
        <v/>
      </c>
    </row>
    <row r="3">
      <c r="A3" s="5" t="n"/>
      <c r="B3" s="5" t="n"/>
      <c r="C3" s="6" t="n"/>
      <c r="D3" s="8">
        <f>PARAMS!$B$2</f>
        <v/>
      </c>
      <c r="E3" s="9">
        <f>IFERROR(C3*D3,"")</f>
        <v/>
      </c>
      <c r="F3" s="8" t="n"/>
      <c r="G3" s="9">
        <f>IFERROR(E3+F3,"")</f>
        <v/>
      </c>
      <c r="H3" s="9">
        <f>IFERROR(SUMIF(PR_MATIERE!$A:$A,$A3,PR_MATIERE!$I:$I)+SUMIF(PR_MO!$A:$A,$A3,PR_MO!$J:$J),0)</f>
        <v/>
      </c>
      <c r="I3" s="9">
        <f>IFERROR(G3-H3,"")</f>
        <v/>
      </c>
      <c r="J3" s="11">
        <f>IFERROR(I3/H3,"")</f>
        <v/>
      </c>
    </row>
    <row r="4">
      <c r="A4" s="5" t="n"/>
      <c r="B4" s="5" t="n"/>
      <c r="C4" s="6" t="n"/>
      <c r="D4" s="8">
        <f>PARAMS!$B$2</f>
        <v/>
      </c>
      <c r="E4" s="9">
        <f>IFERROR(C4*D4,"")</f>
        <v/>
      </c>
      <c r="F4" s="8" t="n"/>
      <c r="G4" s="9">
        <f>IFERROR(E4+F4,"")</f>
        <v/>
      </c>
      <c r="H4" s="9">
        <f>IFERROR(SUMIF(PR_MATIERE!$A:$A,$A4,PR_MATIERE!$I:$I)+SUMIF(PR_MO!$A:$A,$A4,PR_MO!$J:$J),0)</f>
        <v/>
      </c>
      <c r="I4" s="9">
        <f>IFERROR(G4-H4,"")</f>
        <v/>
      </c>
      <c r="J4" s="11">
        <f>IFERROR(I4/H4,"")</f>
        <v/>
      </c>
    </row>
    <row r="5">
      <c r="A5" s="5" t="n"/>
      <c r="B5" s="5" t="n"/>
      <c r="C5" s="6" t="n"/>
      <c r="D5" s="8">
        <f>PARAMS!$B$2</f>
        <v/>
      </c>
      <c r="E5" s="9">
        <f>IFERROR(C5*D5,"")</f>
        <v/>
      </c>
      <c r="F5" s="8" t="n"/>
      <c r="G5" s="9">
        <f>IFERROR(E5+F5,"")</f>
        <v/>
      </c>
      <c r="H5" s="9">
        <f>IFERROR(SUMIF(PR_MATIERE!$A:$A,$A5,PR_MATIERE!$I:$I)+SUMIF(PR_MO!$A:$A,$A5,PR_MO!$J:$J),0)</f>
        <v/>
      </c>
      <c r="I5" s="9">
        <f>IFERROR(G5-H5,"")</f>
        <v/>
      </c>
      <c r="J5" s="11">
        <f>IFERROR(I5/H5,"")</f>
        <v/>
      </c>
    </row>
    <row r="6">
      <c r="A6" s="5" t="n"/>
      <c r="B6" s="5" t="n"/>
      <c r="C6" s="6" t="n"/>
      <c r="D6" s="8">
        <f>PARAMS!$B$2</f>
        <v/>
      </c>
      <c r="E6" s="9">
        <f>IFERROR(C6*D6,"")</f>
        <v/>
      </c>
      <c r="F6" s="8" t="n"/>
      <c r="G6" s="9">
        <f>IFERROR(E6+F6,"")</f>
        <v/>
      </c>
      <c r="H6" s="9">
        <f>IFERROR(SUMIF(PR_MATIERE!$A:$A,$A6,PR_MATIERE!$I:$I)+SUMIF(PR_MO!$A:$A,$A6,PR_MO!$J:$J),0)</f>
        <v/>
      </c>
      <c r="I6" s="9">
        <f>IFERROR(G6-H6,"")</f>
        <v/>
      </c>
      <c r="J6" s="11">
        <f>IFERROR(I6/H6,"")</f>
        <v/>
      </c>
    </row>
    <row r="7">
      <c r="A7" s="5" t="n"/>
      <c r="B7" s="5" t="n"/>
      <c r="C7" s="6" t="n"/>
      <c r="D7" s="8">
        <f>PARAMS!$B$2</f>
        <v/>
      </c>
      <c r="E7" s="9">
        <f>IFERROR(C7*D7,"")</f>
        <v/>
      </c>
      <c r="F7" s="8" t="n"/>
      <c r="G7" s="9">
        <f>IFERROR(E7+F7,"")</f>
        <v/>
      </c>
      <c r="H7" s="9">
        <f>IFERROR(SUMIF(PR_MATIERE!$A:$A,$A7,PR_MATIERE!$I:$I)+SUMIF(PR_MO!$A:$A,$A7,PR_MO!$J:$J),0)</f>
        <v/>
      </c>
      <c r="I7" s="9">
        <f>IFERROR(G7-H7,"")</f>
        <v/>
      </c>
      <c r="J7" s="11">
        <f>IFERROR(I7/H7,"")</f>
        <v/>
      </c>
    </row>
    <row r="8">
      <c r="A8" s="5" t="n"/>
      <c r="B8" s="5" t="n"/>
      <c r="C8" s="6" t="n"/>
      <c r="D8" s="8">
        <f>PARAMS!$B$2</f>
        <v/>
      </c>
      <c r="E8" s="9">
        <f>IFERROR(C8*D8,"")</f>
        <v/>
      </c>
      <c r="F8" s="8" t="n"/>
      <c r="G8" s="9">
        <f>IFERROR(E8+F8,"")</f>
        <v/>
      </c>
      <c r="H8" s="9">
        <f>IFERROR(SUMIF(PR_MATIERE!$A:$A,$A8,PR_MATIERE!$I:$I)+SUMIF(PR_MO!$A:$A,$A8,PR_MO!$J:$J),0)</f>
        <v/>
      </c>
      <c r="I8" s="9">
        <f>IFERROR(G8-H8,"")</f>
        <v/>
      </c>
      <c r="J8" s="11">
        <f>IFERROR(I8/H8,"")</f>
        <v/>
      </c>
    </row>
    <row r="9">
      <c r="A9" s="5" t="n"/>
      <c r="B9" s="5" t="n"/>
      <c r="C9" s="6" t="n"/>
      <c r="D9" s="8">
        <f>PARAMS!$B$2</f>
        <v/>
      </c>
      <c r="E9" s="9">
        <f>IFERROR(C9*D9,"")</f>
        <v/>
      </c>
      <c r="F9" s="8" t="n"/>
      <c r="G9" s="9">
        <f>IFERROR(E9+F9,"")</f>
        <v/>
      </c>
      <c r="H9" s="9">
        <f>IFERROR(SUMIF(PR_MATIERE!$A:$A,$A9,PR_MATIERE!$I:$I)+SUMIF(PR_MO!$A:$A,$A9,PR_MO!$J:$J),0)</f>
        <v/>
      </c>
      <c r="I9" s="9">
        <f>IFERROR(G9-H9,"")</f>
        <v/>
      </c>
      <c r="J9" s="11">
        <f>IFERROR(I9/H9,"")</f>
        <v/>
      </c>
    </row>
    <row r="10">
      <c r="A10" s="5" t="n"/>
      <c r="B10" s="5" t="n"/>
      <c r="C10" s="6" t="n"/>
      <c r="D10" s="8">
        <f>PARAMS!$B$2</f>
        <v/>
      </c>
      <c r="E10" s="9">
        <f>IFERROR(C10*D10,"")</f>
        <v/>
      </c>
      <c r="F10" s="8" t="n"/>
      <c r="G10" s="9">
        <f>IFERROR(E10+F10,"")</f>
        <v/>
      </c>
      <c r="H10" s="9">
        <f>IFERROR(SUMIF(PR_MATIERE!$A:$A,$A10,PR_MATIERE!$I:$I)+SUMIF(PR_MO!$A:$A,$A10,PR_MO!$J:$J),0)</f>
        <v/>
      </c>
      <c r="I10" s="9">
        <f>IFERROR(G10-H10,"")</f>
        <v/>
      </c>
      <c r="J10" s="11">
        <f>IFERROR(I10/H10,"")</f>
        <v/>
      </c>
    </row>
    <row r="11">
      <c r="A11" s="5" t="n"/>
      <c r="B11" s="5" t="n"/>
      <c r="C11" s="6" t="n"/>
      <c r="D11" s="8">
        <f>PARAMS!$B$2</f>
        <v/>
      </c>
      <c r="E11" s="9">
        <f>IFERROR(C11*D11,"")</f>
        <v/>
      </c>
      <c r="F11" s="8" t="n"/>
      <c r="G11" s="9">
        <f>IFERROR(E11+F11,"")</f>
        <v/>
      </c>
      <c r="H11" s="9">
        <f>IFERROR(SUMIF(PR_MATIERE!$A:$A,$A11,PR_MATIERE!$I:$I)+SUMIF(PR_MO!$A:$A,$A11,PR_MO!$J:$J),0)</f>
        <v/>
      </c>
      <c r="I11" s="9">
        <f>IFERROR(G11-H11,"")</f>
        <v/>
      </c>
      <c r="J11" s="11">
        <f>IFERROR(I11/H11,"")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C2 C3 C4 C5 C6 C7 C8 C9 C10 C11 D2 D3 D4 D5 D6 D7 D8 D9 D10 D11 F2 F3 F4 F5 F6 F7 F8 F9 F10 F1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Élément</t>
        </is>
      </c>
      <c r="B1" s="1" t="inlineStr">
        <is>
          <t>Valeur</t>
        </is>
      </c>
    </row>
    <row r="2">
      <c r="A2" s="2" t="inlineStr">
        <is>
          <t>Total matière (prévu)</t>
        </is>
      </c>
      <c r="B2" s="12">
        <f>IFERROR(SUM(PR_MATIERE!I2:I11),0)</f>
        <v/>
      </c>
    </row>
    <row r="3">
      <c r="A3" s="2" t="inlineStr">
        <is>
          <t>Total MO (prévu)</t>
        </is>
      </c>
      <c r="B3" s="12">
        <f>IFERROR(SUM(PR_MO!J2:J11),0)</f>
        <v/>
      </c>
    </row>
    <row r="4">
      <c r="A4" s="2" t="inlineStr">
        <is>
          <t>Coût direct prévu</t>
        </is>
      </c>
      <c r="B4" s="12">
        <f>IFERROR(B2+B3,0)</f>
        <v/>
      </c>
    </row>
    <row r="5">
      <c r="A5" s="2" t="inlineStr">
        <is>
          <t>Frais généraux (prévu)</t>
        </is>
      </c>
      <c r="B5" s="12">
        <f>IFERROR(B4*PARAMS!$B$3,0)</f>
        <v/>
      </c>
    </row>
    <row r="6">
      <c r="A6" s="13" t="inlineStr">
        <is>
          <t>PRIX DE REVIENT TOTAL (prévu)</t>
        </is>
      </c>
      <c r="B6" s="14">
        <f>IFERROR(B4+B5,0)</f>
        <v/>
      </c>
    </row>
    <row r="8">
      <c r="A8" s="2" t="inlineStr">
        <is>
          <t>Total vente (matière)</t>
        </is>
      </c>
      <c r="B8" s="12">
        <f>IFERROR(SUM(PR_MATIERE!M2:M11),0)</f>
        <v/>
      </c>
    </row>
    <row r="9">
      <c r="A9" s="2" t="inlineStr">
        <is>
          <t>Total vente (MO)</t>
        </is>
      </c>
      <c r="B9" s="12">
        <f>IFERROR(SUM(PR_MO!M2:M11),0)</f>
        <v/>
      </c>
    </row>
    <row r="10">
      <c r="A10" s="13" t="inlineStr">
        <is>
          <t>PRIX DE VENTE TOTAL HT</t>
        </is>
      </c>
      <c r="B10" s="14">
        <f>IFERROR(B8+B9,0)</f>
        <v/>
      </c>
    </row>
    <row r="11">
      <c r="A11" s="2" t="inlineStr">
        <is>
          <t>TVA %</t>
        </is>
      </c>
      <c r="B11" s="4">
        <f>PARAMS!$B$6</f>
        <v/>
      </c>
    </row>
    <row r="12">
      <c r="A12" s="13" t="inlineStr">
        <is>
          <t>PRIX DE VENTE TOTAL TTC</t>
        </is>
      </c>
      <c r="B12" s="14">
        <f>IFERROR(B10*(1+B11),0)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22" customWidth="1" min="5" max="5"/>
    <col width="18" customWidth="1" min="6" max="6"/>
    <col width="10" customWidth="1" min="7" max="7"/>
    <col width="18" customWidth="1" min="8" max="8"/>
    <col width="30" customWidth="1" min="9" max="9"/>
  </cols>
  <sheetData>
    <row r="1">
      <c r="A1" s="1" t="inlineStr">
        <is>
          <t>Numéro</t>
        </is>
      </c>
      <c r="B1" s="1" t="inlineStr">
        <is>
          <t>Chantier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PRIX DE REVIENT TOTAL</t>
        </is>
      </c>
      <c r="F1" s="1" t="inlineStr">
        <is>
          <t>PRIX DE VENTE HT</t>
        </is>
      </c>
      <c r="G1" s="1" t="inlineStr">
        <is>
          <t>TVA %</t>
        </is>
      </c>
      <c r="H1" s="1" t="inlineStr">
        <is>
          <t>PRIX TTC</t>
        </is>
      </c>
      <c r="I1" s="1" t="inlineStr">
        <is>
          <t>Remarques</t>
        </is>
      </c>
    </row>
    <row r="2">
      <c r="A2" s="5" t="inlineStr">
        <is>
          <t>DEVIS-TEST</t>
        </is>
      </c>
      <c r="B2" s="5" t="inlineStr">
        <is>
          <t>À compléter</t>
        </is>
      </c>
      <c r="C2" s="5" t="inlineStr">
        <is>
          <t>À compléter</t>
        </is>
      </c>
      <c r="D2" s="5" t="inlineStr">
        <is>
          <t>2026-01-22</t>
        </is>
      </c>
      <c r="E2" s="9">
        <f>SYNTHESE!B6</f>
        <v/>
      </c>
      <c r="F2" s="9">
        <f>SYNTHESE!B10</f>
        <v/>
      </c>
      <c r="G2" s="11">
        <f>PARAMS!$B$6</f>
        <v/>
      </c>
      <c r="H2" s="9">
        <f>SYNTHESE!B12</f>
        <v/>
      </c>
      <c r="I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2026-01-22T16:10:58Z</dcterms:created>
  <dcterms:modified xsi:type="dcterms:W3CDTF">2026-01-22T16:10:58Z</dcterms:modified>
</cp:coreProperties>
</file>